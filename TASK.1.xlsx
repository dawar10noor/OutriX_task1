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d.docs.live.net/dd0dbf4d2676a656/Documents/"/>
    </mc:Choice>
  </mc:AlternateContent>
  <xr:revisionPtr revIDLastSave="2" documentId="8_{7823F4DA-0762-4A7F-9ACB-6E1D9E2ECFC8}" xr6:coauthVersionLast="47" xr6:coauthVersionMax="47" xr10:uidLastSave="{1FAE0D77-5EED-431B-A896-C84C1CB0F974}"/>
  <bookViews>
    <workbookView xWindow="-110" yWindow="-110" windowWidth="19420" windowHeight="10300" activeTab="2" xr2:uid="{00000000-000D-0000-FFFF-FFFF00000000}"/>
  </bookViews>
  <sheets>
    <sheet name="data" sheetId="1" r:id="rId1"/>
    <sheet name="pivot table" sheetId="2" r:id="rId2"/>
    <sheet name="dashboard" sheetId="3" r:id="rId3"/>
  </sheets>
  <definedNames>
    <definedName name="_xlchart.v2.0" hidden="1">'pivot table'!$L$11:$L$30</definedName>
    <definedName name="_xlchart.v2.1" hidden="1">'pivot table'!$M$11:$M$30</definedName>
    <definedName name="_xlchart.v2.2" hidden="1">'pivot table'!$L$11:$L$30</definedName>
    <definedName name="_xlchart.v2.3" hidden="1">'pivot table'!$M$11:$M$30</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4" i="2" l="1"/>
  <c r="L23" i="2"/>
  <c r="L22" i="2"/>
  <c r="L21" i="2"/>
  <c r="L20" i="2"/>
  <c r="L19" i="2"/>
  <c r="L18" i="2"/>
  <c r="L17" i="2"/>
  <c r="L16" i="2"/>
  <c r="L15" i="2"/>
  <c r="L14" i="2"/>
  <c r="L13" i="2"/>
  <c r="L12" i="2"/>
  <c r="X11" i="2"/>
  <c r="L11" i="2"/>
  <c r="X10" i="2"/>
  <c r="L10" i="2"/>
  <c r="X9" i="2"/>
  <c r="L9" i="2"/>
  <c r="X8" i="2"/>
  <c r="L8" i="2"/>
  <c r="X7" i="2"/>
  <c r="L7" i="2"/>
  <c r="X6" i="2"/>
  <c r="L6" i="2"/>
  <c r="L5" i="2"/>
  <c r="M7" i="2"/>
  <c r="M18" i="2"/>
  <c r="M6" i="2"/>
  <c r="M23" i="2"/>
  <c r="M16" i="2"/>
  <c r="M10" i="2"/>
  <c r="M24" i="2"/>
  <c r="M11" i="2"/>
  <c r="M20" i="2"/>
  <c r="M15" i="2"/>
  <c r="Y7" i="2"/>
  <c r="M8" i="2"/>
  <c r="M9" i="2"/>
  <c r="M5" i="2"/>
  <c r="M22" i="2"/>
  <c r="A11" i="2"/>
  <c r="Y8" i="2"/>
  <c r="M19" i="2"/>
  <c r="Y11" i="2"/>
  <c r="Y9" i="2"/>
  <c r="M14" i="2"/>
  <c r="A12" i="2"/>
  <c r="M12" i="2"/>
  <c r="M21" i="2"/>
  <c r="M17" i="2"/>
  <c r="M13" i="2"/>
  <c r="Y10" i="2"/>
  <c r="Y6" i="2"/>
</calcChain>
</file>

<file path=xl/sharedStrings.xml><?xml version="1.0" encoding="utf-8"?>
<sst xmlns="http://schemas.openxmlformats.org/spreadsheetml/2006/main" count="1495" uniqueCount="251">
  <si>
    <t>Order Date</t>
  </si>
  <si>
    <t>Customer Name</t>
  </si>
  <si>
    <t>State</t>
  </si>
  <si>
    <t>Category</t>
  </si>
  <si>
    <t>Sub-Category</t>
  </si>
  <si>
    <t>Product Name</t>
  </si>
  <si>
    <t>Sales</t>
  </si>
  <si>
    <t>Quantity</t>
  </si>
  <si>
    <t>Profit</t>
  </si>
  <si>
    <t>Month</t>
  </si>
  <si>
    <t>Year</t>
  </si>
  <si>
    <t>2025-11-08</t>
  </si>
  <si>
    <t>Isha Kapoor</t>
  </si>
  <si>
    <t>Uttar Pradesh</t>
  </si>
  <si>
    <t>Office Supplies</t>
  </si>
  <si>
    <t>Staplers</t>
  </si>
  <si>
    <t>Stapler</t>
  </si>
  <si>
    <t>Nov</t>
  </si>
  <si>
    <t>2025-08-24</t>
  </si>
  <si>
    <t>Priya Singh</t>
  </si>
  <si>
    <t>Karnataka</t>
  </si>
  <si>
    <t>Pens</t>
  </si>
  <si>
    <t>Ball Pen</t>
  </si>
  <si>
    <t>Aug</t>
  </si>
  <si>
    <t>2025-12-26</t>
  </si>
  <si>
    <t>Amit Sharma</t>
  </si>
  <si>
    <t>Maharashtra</t>
  </si>
  <si>
    <t>Technology</t>
  </si>
  <si>
    <t>Cameras</t>
  </si>
  <si>
    <t>Nikon Camera</t>
  </si>
  <si>
    <t>Dec</t>
  </si>
  <si>
    <t>2025-03-12</t>
  </si>
  <si>
    <t>Arjun Sethi</t>
  </si>
  <si>
    <t>Tamil Nadu</t>
  </si>
  <si>
    <t>Binders</t>
  </si>
  <si>
    <t>Office Binder</t>
  </si>
  <si>
    <t>Mar</t>
  </si>
  <si>
    <t>2025-07-18</t>
  </si>
  <si>
    <t>Karan Joshi</t>
  </si>
  <si>
    <t>Furniture</t>
  </si>
  <si>
    <t>Sofas</t>
  </si>
  <si>
    <t>Leather Sofa</t>
  </si>
  <si>
    <t>Jul</t>
  </si>
  <si>
    <t>2025-04-15</t>
  </si>
  <si>
    <t>Neha Verma</t>
  </si>
  <si>
    <t>Delhi</t>
  </si>
  <si>
    <t>Mobiles</t>
  </si>
  <si>
    <t>Samsung Mobile</t>
  </si>
  <si>
    <t>Apr</t>
  </si>
  <si>
    <t>2025-04-18</t>
  </si>
  <si>
    <t>Nidhi Agarwal</t>
  </si>
  <si>
    <t>West Bengal</t>
  </si>
  <si>
    <t>2025-06-18</t>
  </si>
  <si>
    <t>Jun</t>
  </si>
  <si>
    <t>2025-08-14</t>
  </si>
  <si>
    <t>Monitors</t>
  </si>
  <si>
    <t>Dell Monitor</t>
  </si>
  <si>
    <t>2025-09-15</t>
  </si>
  <si>
    <t>Divya Jain</t>
  </si>
  <si>
    <t>Tables</t>
  </si>
  <si>
    <t>Wooden Table</t>
  </si>
  <si>
    <t>Sep</t>
  </si>
  <si>
    <t>2025-01-08</t>
  </si>
  <si>
    <t>Simran Gill</t>
  </si>
  <si>
    <t>Bookcases</t>
  </si>
  <si>
    <t>Wooden Bookcase</t>
  </si>
  <si>
    <t>Jan</t>
  </si>
  <si>
    <t>2025-12-07</t>
  </si>
  <si>
    <t>Manoj Gupta</t>
  </si>
  <si>
    <t>Desks</t>
  </si>
  <si>
    <t>Work Desk</t>
  </si>
  <si>
    <t>2025-01-05</t>
  </si>
  <si>
    <t>Ravi Kumar</t>
  </si>
  <si>
    <t>Envelopes</t>
  </si>
  <si>
    <t>Mail Envelope</t>
  </si>
  <si>
    <t>2025-12-13</t>
  </si>
  <si>
    <t>Pooja Nair</t>
  </si>
  <si>
    <t>2025-05-23</t>
  </si>
  <si>
    <t>May</t>
  </si>
  <si>
    <t>2025-06-02</t>
  </si>
  <si>
    <t>2025-12-20</t>
  </si>
  <si>
    <t>Alok Bhatia</t>
  </si>
  <si>
    <t>Cupboards</t>
  </si>
  <si>
    <t>Office Cupboard</t>
  </si>
  <si>
    <t>2025-01-01</t>
  </si>
  <si>
    <t>Rohit Mehta</t>
  </si>
  <si>
    <t>Headphones</t>
  </si>
  <si>
    <t>Sony Headphones</t>
  </si>
  <si>
    <t>2025-06-08</t>
  </si>
  <si>
    <t>Chairs</t>
  </si>
  <si>
    <t>Ergonomic Chair</t>
  </si>
  <si>
    <t>2025-08-15</t>
  </si>
  <si>
    <t>2025-10-20</t>
  </si>
  <si>
    <t>Oct</t>
  </si>
  <si>
    <t>2025-11-17</t>
  </si>
  <si>
    <t>Beds</t>
  </si>
  <si>
    <t>King Size Bed</t>
  </si>
  <si>
    <t>2025-03-02</t>
  </si>
  <si>
    <t>2025-08-27</t>
  </si>
  <si>
    <t>Suresh Yadav</t>
  </si>
  <si>
    <t>2025-01-09</t>
  </si>
  <si>
    <t>2025-03-26</t>
  </si>
  <si>
    <t>2025-08-07</t>
  </si>
  <si>
    <t>2025-03-07</t>
  </si>
  <si>
    <t>2025-02-01</t>
  </si>
  <si>
    <t>Feb</t>
  </si>
  <si>
    <t>2025-03-16</t>
  </si>
  <si>
    <t>Paper</t>
  </si>
  <si>
    <t>A4 Sheets</t>
  </si>
  <si>
    <t>Laptops</t>
  </si>
  <si>
    <t>HP Laptop</t>
  </si>
  <si>
    <t>2025-09-18</t>
  </si>
  <si>
    <t>Printers</t>
  </si>
  <si>
    <t>Canon Printer</t>
  </si>
  <si>
    <t>2025-01-04</t>
  </si>
  <si>
    <t>2025-12-27</t>
  </si>
  <si>
    <t>2025-03-22</t>
  </si>
  <si>
    <t>Sneha Iyer</t>
  </si>
  <si>
    <t>2025-12-14</t>
  </si>
  <si>
    <t>2025-05-03</t>
  </si>
  <si>
    <t>2025-02-25</t>
  </si>
  <si>
    <t>2025-06-23</t>
  </si>
  <si>
    <t>Folders</t>
  </si>
  <si>
    <t>File Folder</t>
  </si>
  <si>
    <t>2025-11-22</t>
  </si>
  <si>
    <t>2025-09-24</t>
  </si>
  <si>
    <t>Rakesh Reddy</t>
  </si>
  <si>
    <t>Vikas Chauhan</t>
  </si>
  <si>
    <t>2025-07-22</t>
  </si>
  <si>
    <t>2025-04-10</t>
  </si>
  <si>
    <t>Tablets</t>
  </si>
  <si>
    <t>iPad</t>
  </si>
  <si>
    <t>2025-12-05</t>
  </si>
  <si>
    <t>2025-04-16</t>
  </si>
  <si>
    <t>Anita Das</t>
  </si>
  <si>
    <t>2025-10-21</t>
  </si>
  <si>
    <t>2025-02-22</t>
  </si>
  <si>
    <t>2025-05-22</t>
  </si>
  <si>
    <t>Vinod Malhotra</t>
  </si>
  <si>
    <t>2025-05-07</t>
  </si>
  <si>
    <t>2025-06-05</t>
  </si>
  <si>
    <t>2025-08-05</t>
  </si>
  <si>
    <t>2025-08-12</t>
  </si>
  <si>
    <t>2025-05-12</t>
  </si>
  <si>
    <t>2025-10-02</t>
  </si>
  <si>
    <t>2025-08-04</t>
  </si>
  <si>
    <t>2025-01-03</t>
  </si>
  <si>
    <t>2025-01-23</t>
  </si>
  <si>
    <t>2025-09-19</t>
  </si>
  <si>
    <t>2025-10-15</t>
  </si>
  <si>
    <t>2025-10-05</t>
  </si>
  <si>
    <t>2025-10-26</t>
  </si>
  <si>
    <t>2025-10-09</t>
  </si>
  <si>
    <t>2025-03-08</t>
  </si>
  <si>
    <t>2025-04-04</t>
  </si>
  <si>
    <t>2025-10-19</t>
  </si>
  <si>
    <t>2025-12-08</t>
  </si>
  <si>
    <t>2025-05-16</t>
  </si>
  <si>
    <t>2025-04-25</t>
  </si>
  <si>
    <t>2025-07-25</t>
  </si>
  <si>
    <t>2025-10-04</t>
  </si>
  <si>
    <t>2025-09-01</t>
  </si>
  <si>
    <t>2025-11-13</t>
  </si>
  <si>
    <t>2025-05-26</t>
  </si>
  <si>
    <t>2025-02-09</t>
  </si>
  <si>
    <t>2025-05-05</t>
  </si>
  <si>
    <t>2025-04-01</t>
  </si>
  <si>
    <t>2025-06-22</t>
  </si>
  <si>
    <t>2025-07-15</t>
  </si>
  <si>
    <t>2025-09-06</t>
  </si>
  <si>
    <t>2025-11-19</t>
  </si>
  <si>
    <t>2025-11-09</t>
  </si>
  <si>
    <t>2025-01-26</t>
  </si>
  <si>
    <t>2025-10-23</t>
  </si>
  <si>
    <t>2025-07-03</t>
  </si>
  <si>
    <t>2025-10-06</t>
  </si>
  <si>
    <t>2025-09-04</t>
  </si>
  <si>
    <t>2025-06-20</t>
  </si>
  <si>
    <t>2025-08-23</t>
  </si>
  <si>
    <t>2025-04-11</t>
  </si>
  <si>
    <t>2025-09-02</t>
  </si>
  <si>
    <t>2025-06-26</t>
  </si>
  <si>
    <t>2025-11-03</t>
  </si>
  <si>
    <t>2025-02-13</t>
  </si>
  <si>
    <t>2025-09-11</t>
  </si>
  <si>
    <t>2025-12-12</t>
  </si>
  <si>
    <t>2025-03-03</t>
  </si>
  <si>
    <t>2025-12-03</t>
  </si>
  <si>
    <t>2025-09-13</t>
  </si>
  <si>
    <t>2025-05-08</t>
  </si>
  <si>
    <t>2025-07-27</t>
  </si>
  <si>
    <t>2025-04-22</t>
  </si>
  <si>
    <t>2025-04-13</t>
  </si>
  <si>
    <t>2025-04-12</t>
  </si>
  <si>
    <t>2025-10-11</t>
  </si>
  <si>
    <t>2025-05-21</t>
  </si>
  <si>
    <t>2025-03-20</t>
  </si>
  <si>
    <t>2025-04-06</t>
  </si>
  <si>
    <t>2025-05-17</t>
  </si>
  <si>
    <t>2025-01-07</t>
  </si>
  <si>
    <t>2025-01-13</t>
  </si>
  <si>
    <t>2025-03-15</t>
  </si>
  <si>
    <t>2025-12-01</t>
  </si>
  <si>
    <t>2025-01-25</t>
  </si>
  <si>
    <t>2025-11-16</t>
  </si>
  <si>
    <t>2025-10-07</t>
  </si>
  <si>
    <t>2025-04-05</t>
  </si>
  <si>
    <t>2025-02-19</t>
  </si>
  <si>
    <t>2025-09-22</t>
  </si>
  <si>
    <t>2025-11-06</t>
  </si>
  <si>
    <t>2025-05-25</t>
  </si>
  <si>
    <t>2025-01-19</t>
  </si>
  <si>
    <t>2025-11-04</t>
  </si>
  <si>
    <t>2025-08-22</t>
  </si>
  <si>
    <t>2025-08-10</t>
  </si>
  <si>
    <t>2025-03-06</t>
  </si>
  <si>
    <t>2025-10-25</t>
  </si>
  <si>
    <t>2025-06-16</t>
  </si>
  <si>
    <t>2025-08-17</t>
  </si>
  <si>
    <t>2025-10-12</t>
  </si>
  <si>
    <t>2025-02-03</t>
  </si>
  <si>
    <t>2025-09-16</t>
  </si>
  <si>
    <t>2025-11-10</t>
  </si>
  <si>
    <t>2025-03-25</t>
  </si>
  <si>
    <t>2025-11-02</t>
  </si>
  <si>
    <t>2025-06-24</t>
  </si>
  <si>
    <t>2025-07-02</t>
  </si>
  <si>
    <t>2025-02-24</t>
  </si>
  <si>
    <t>2025-12-15</t>
  </si>
  <si>
    <t>2025-12-22</t>
  </si>
  <si>
    <t>2025-12-04</t>
  </si>
  <si>
    <t>2025-06-15</t>
  </si>
  <si>
    <t>2025-02-04</t>
  </si>
  <si>
    <t>2025-04-02</t>
  </si>
  <si>
    <t>2025-12-24</t>
  </si>
  <si>
    <t>2025-02-20</t>
  </si>
  <si>
    <t>Sum of Sales</t>
  </si>
  <si>
    <t>Sum of Profit</t>
  </si>
  <si>
    <r>
      <rPr>
        <b/>
        <sz val="12"/>
        <rFont val="Calibri"/>
        <family val="2"/>
        <scheme val="minor"/>
      </rPr>
      <t>Profit by yea</t>
    </r>
    <r>
      <rPr>
        <sz val="11"/>
        <rFont val="Calibri"/>
        <scheme val="minor"/>
      </rPr>
      <t>r</t>
    </r>
  </si>
  <si>
    <t>Row Labels</t>
  </si>
  <si>
    <t>Grand Total</t>
  </si>
  <si>
    <t>Total Sales</t>
  </si>
  <si>
    <t>Total Profit</t>
  </si>
  <si>
    <t>Sales by sub category</t>
  </si>
  <si>
    <t>Customer Count by year</t>
  </si>
  <si>
    <t>(blank)</t>
  </si>
  <si>
    <t>Count of Customer Name</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</si>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</sst>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409]* #,##0.00_ ;_-[$$-409]* \-#,##0.00\ ;_-[$$-409]* &quot;-&quot;??_ ;_-@_ "/>
    <numFmt numFmtId="165" formatCode="_-[$$-409]* #,##0_ ;_-[$$-409]* \-#,##0\ ;_-[$$-409]* &quot;-&quot;??_ ;_-@_ "/>
    <numFmt numFmtId="166" formatCode="\$#,#00,\ &quot;K&quot;"/>
  </numFmts>
  <fonts count="5">
    <font>
      <sz val="11"/>
      <name val="Calibri"/>
      <scheme val="minor"/>
    </font>
    <font>
      <b/>
      <sz val="11"/>
      <name val="Calibri"/>
    </font>
    <font>
      <sz val="11"/>
      <name val="Calibri"/>
      <scheme val="minor"/>
    </font>
    <font>
      <b/>
      <sz val="12"/>
      <name val="Calibri"/>
      <family val="2"/>
      <scheme val="minor"/>
    </font>
    <font>
      <sz val="1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rgb="FF000000"/>
      </left>
      <right style="thin">
        <color rgb="FF000000"/>
      </right>
      <top/>
      <bottom style="thin">
        <color rgb="FF000000"/>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3" fillId="0" borderId="0" xfId="0" applyFont="1"/>
    <xf numFmtId="164" fontId="0" fillId="0" borderId="0" xfId="0" applyNumberFormat="1"/>
    <xf numFmtId="164" fontId="0" fillId="0" borderId="0" xfId="1" applyNumberFormat="1" applyFont="1"/>
    <xf numFmtId="0" fontId="3" fillId="2" borderId="0" xfId="0" applyFont="1" applyFill="1"/>
    <xf numFmtId="0" fontId="4" fillId="2" borderId="0" xfId="0" applyFont="1" applyFill="1"/>
    <xf numFmtId="0" fontId="0" fillId="2" borderId="0" xfId="0" applyFill="1"/>
    <xf numFmtId="165" fontId="0" fillId="0" borderId="0" xfId="0" applyNumberFormat="1"/>
    <xf numFmtId="166" fontId="0" fillId="0" borderId="0" xfId="0" applyNumberFormat="1"/>
  </cellXfs>
  <cellStyles count="2">
    <cellStyle name="Currency" xfId="1" builtinId="4"/>
    <cellStyle name="Normal" xfId="0" builtinId="0"/>
  </cellStyles>
  <dxfs count="20">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6" formatCode="\$#,#00,\ &quot;K&quot;"/>
    </dxf>
    <dxf>
      <numFmt numFmtId="166" formatCode="\$#,#00,\ &quot;K&quo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table'!$C$6:$C$7</c:f>
              <c:strCache>
                <c:ptCount val="1"/>
                <c:pt idx="0">
                  <c:v>2025</c:v>
                </c:pt>
              </c:strCache>
            </c:strRef>
          </c:cat>
          <c:val>
            <c:numRef>
              <c:f>'pivot table'!$D$6:$D$7</c:f>
              <c:numCache>
                <c:formatCode>_-[$$-409]* #,##0.00_ ;_-[$$-409]* \-#,##0.00\ ;_-[$$-409]* "-"??_ ;_-@_ </c:formatCode>
                <c:ptCount val="1"/>
                <c:pt idx="0">
                  <c:v>19788</c:v>
                </c:pt>
              </c:numCache>
            </c:numRef>
          </c:val>
          <c:extLst>
            <c:ext xmlns:c16="http://schemas.microsoft.com/office/drawing/2014/chart" uri="{C3380CC4-5D6E-409C-BE32-E72D297353CC}">
              <c16:uniqueId val="{00000000-B012-4979-BAFF-8504F87B11CD}"/>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table'!$C$6:$C$7</c:f>
              <c:strCache>
                <c:ptCount val="1"/>
                <c:pt idx="0">
                  <c:v>2025</c:v>
                </c:pt>
              </c:strCache>
            </c:strRef>
          </c:cat>
          <c:val>
            <c:numRef>
              <c:f>'pivot table'!$E$6:$E$7</c:f>
              <c:numCache>
                <c:formatCode>_-[$$-409]* #,##0.00_ ;_-[$$-409]* \-#,##0.00\ ;_-[$$-409]* "-"??_ ;_-@_ </c:formatCode>
                <c:ptCount val="1"/>
                <c:pt idx="0">
                  <c:v>42593</c:v>
                </c:pt>
              </c:numCache>
            </c:numRef>
          </c:val>
          <c:extLst>
            <c:ext xmlns:c16="http://schemas.microsoft.com/office/drawing/2014/chart" uri="{C3380CC4-5D6E-409C-BE32-E72D297353CC}">
              <c16:uniqueId val="{00000001-B012-4979-BAFF-8504F87B11CD}"/>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table'!$C$6:$C$7</c:f>
              <c:strCache>
                <c:ptCount val="1"/>
                <c:pt idx="0">
                  <c:v>2025</c:v>
                </c:pt>
              </c:strCache>
            </c:strRef>
          </c:cat>
          <c:val>
            <c:numRef>
              <c:f>'pivot table'!$F$6:$F$7</c:f>
              <c:numCache>
                <c:formatCode>_-[$$-409]* #,##0.00_ ;_-[$$-409]* \-#,##0.00\ ;_-[$$-409]* "-"??_ ;_-@_ </c:formatCode>
                <c:ptCount val="1"/>
                <c:pt idx="0">
                  <c:v>27805</c:v>
                </c:pt>
              </c:numCache>
            </c:numRef>
          </c:val>
          <c:extLst>
            <c:ext xmlns:c16="http://schemas.microsoft.com/office/drawing/2014/chart" uri="{C3380CC4-5D6E-409C-BE32-E72D297353CC}">
              <c16:uniqueId val="{00000002-B012-4979-BAFF-8504F87B11CD}"/>
            </c:ext>
          </c:extLst>
        </c:ser>
        <c:dLbls>
          <c:showLegendKey val="0"/>
          <c:showVal val="0"/>
          <c:showCatName val="0"/>
          <c:showSerName val="0"/>
          <c:showPercent val="0"/>
          <c:showBubbleSize val="0"/>
        </c:dLbls>
        <c:gapWidth val="219"/>
        <c:overlap val="-27"/>
        <c:axId val="369778064"/>
        <c:axId val="386899392"/>
      </c:barChart>
      <c:catAx>
        <c:axId val="3697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99392"/>
        <c:crosses val="autoZero"/>
        <c:auto val="1"/>
        <c:lblAlgn val="ctr"/>
        <c:lblOffset val="100"/>
        <c:noMultiLvlLbl val="0"/>
      </c:catAx>
      <c:valAx>
        <c:axId val="38689939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7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t>PROFIT</a:t>
            </a:r>
            <a:r>
              <a:rPr lang="en-IN" sz="1600" b="1" baseline="0"/>
              <a:t> OF THE YEAR</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4F6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table'!$C$6:$C$7</c:f>
              <c:strCache>
                <c:ptCount val="1"/>
                <c:pt idx="0">
                  <c:v>2025</c:v>
                </c:pt>
              </c:strCache>
            </c:strRef>
          </c:cat>
          <c:val>
            <c:numRef>
              <c:f>'pivot table'!$D$6:$D$7</c:f>
              <c:numCache>
                <c:formatCode>_-[$$-409]* #,##0.00_ ;_-[$$-409]* \-#,##0.00\ ;_-[$$-409]* "-"??_ ;_-@_ </c:formatCode>
                <c:ptCount val="1"/>
                <c:pt idx="0">
                  <c:v>19788</c:v>
                </c:pt>
              </c:numCache>
            </c:numRef>
          </c:val>
          <c:extLst>
            <c:ext xmlns:c16="http://schemas.microsoft.com/office/drawing/2014/chart" uri="{C3380CC4-5D6E-409C-BE32-E72D297353CC}">
              <c16:uniqueId val="{00000000-E39A-4F78-96B0-0BADCB450174}"/>
            </c:ext>
          </c:extLst>
        </c:ser>
        <c:ser>
          <c:idx val="1"/>
          <c:order val="1"/>
          <c:tx>
            <c:strRef>
              <c:f>'pivot table'!$E$4:$E$5</c:f>
              <c:strCache>
                <c:ptCount val="1"/>
                <c:pt idx="0">
                  <c:v>Office Supplies</c:v>
                </c:pt>
              </c:strCache>
            </c:strRef>
          </c:tx>
          <c:spPr>
            <a:solidFill>
              <a:srgbClr val="084F6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table'!$C$6:$C$7</c:f>
              <c:strCache>
                <c:ptCount val="1"/>
                <c:pt idx="0">
                  <c:v>2025</c:v>
                </c:pt>
              </c:strCache>
            </c:strRef>
          </c:cat>
          <c:val>
            <c:numRef>
              <c:f>'pivot table'!$E$6:$E$7</c:f>
              <c:numCache>
                <c:formatCode>_-[$$-409]* #,##0.00_ ;_-[$$-409]* \-#,##0.00\ ;_-[$$-409]* "-"??_ ;_-@_ </c:formatCode>
                <c:ptCount val="1"/>
                <c:pt idx="0">
                  <c:v>42593</c:v>
                </c:pt>
              </c:numCache>
            </c:numRef>
          </c:val>
          <c:extLst>
            <c:ext xmlns:c16="http://schemas.microsoft.com/office/drawing/2014/chart" uri="{C3380CC4-5D6E-409C-BE32-E72D297353CC}">
              <c16:uniqueId val="{00000001-E39A-4F78-96B0-0BADCB450174}"/>
            </c:ext>
          </c:extLst>
        </c:ser>
        <c:ser>
          <c:idx val="2"/>
          <c:order val="2"/>
          <c:tx>
            <c:strRef>
              <c:f>'pivot table'!$F$4:$F$5</c:f>
              <c:strCache>
                <c:ptCount val="1"/>
                <c:pt idx="0">
                  <c:v>Technology</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table'!$C$6:$C$7</c:f>
              <c:strCache>
                <c:ptCount val="1"/>
                <c:pt idx="0">
                  <c:v>2025</c:v>
                </c:pt>
              </c:strCache>
            </c:strRef>
          </c:cat>
          <c:val>
            <c:numRef>
              <c:f>'pivot table'!$F$6:$F$7</c:f>
              <c:numCache>
                <c:formatCode>_-[$$-409]* #,##0.00_ ;_-[$$-409]* \-#,##0.00\ ;_-[$$-409]* "-"??_ ;_-@_ </c:formatCode>
                <c:ptCount val="1"/>
                <c:pt idx="0">
                  <c:v>27805</c:v>
                </c:pt>
              </c:numCache>
            </c:numRef>
          </c:val>
          <c:extLst>
            <c:ext xmlns:c16="http://schemas.microsoft.com/office/drawing/2014/chart" uri="{C3380CC4-5D6E-409C-BE32-E72D297353CC}">
              <c16:uniqueId val="{00000002-E39A-4F78-96B0-0BADCB450174}"/>
            </c:ext>
          </c:extLst>
        </c:ser>
        <c:dLbls>
          <c:dLblPos val="outEnd"/>
          <c:showLegendKey val="0"/>
          <c:showVal val="1"/>
          <c:showCatName val="0"/>
          <c:showSerName val="0"/>
          <c:showPercent val="0"/>
          <c:showBubbleSize val="0"/>
        </c:dLbls>
        <c:gapWidth val="50"/>
        <c:axId val="369778064"/>
        <c:axId val="386899392"/>
      </c:barChart>
      <c:catAx>
        <c:axId val="3697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6899392"/>
        <c:crosses val="autoZero"/>
        <c:auto val="1"/>
        <c:lblAlgn val="ctr"/>
        <c:lblOffset val="100"/>
        <c:noMultiLvlLbl val="0"/>
      </c:catAx>
      <c:valAx>
        <c:axId val="386899392"/>
        <c:scaling>
          <c:orientation val="minMax"/>
        </c:scaling>
        <c:delete val="1"/>
        <c:axPos val="l"/>
        <c:numFmt formatCode="_-[$$-409]* #,##0.00_ ;_-[$$-409]* \-#,##0.00\ ;_-[$$-409]* &quot;-&quot;??_ ;_-@_ " sourceLinked="1"/>
        <c:majorTickMark val="none"/>
        <c:minorTickMark val="none"/>
        <c:tickLblPos val="nextTo"/>
        <c:crossAx val="36977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CUSTOMER</a:t>
            </a:r>
            <a:r>
              <a:rPr lang="en-IN" b="1" baseline="0">
                <a:solidFill>
                  <a:schemeClr val="tx1"/>
                </a:solidFill>
              </a:rPr>
              <a:t> COUNT OF THE YEAR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pivotFmt>
      <c:pivotFmt>
        <c:idx val="6"/>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pivotFmt>
    </c:pivotFmts>
    <c:plotArea>
      <c:layout/>
      <c:pieChart>
        <c:varyColors val="1"/>
        <c:ser>
          <c:idx val="0"/>
          <c:order val="0"/>
          <c:tx>
            <c:strRef>
              <c:f>'pivot table'!$S$4</c:f>
              <c:strCache>
                <c:ptCount val="1"/>
                <c:pt idx="0">
                  <c:v>Total</c:v>
                </c:pt>
              </c:strCache>
            </c:strRef>
          </c:tx>
          <c:spPr>
            <a:solidFill>
              <a:schemeClr val="accent1">
                <a:lumMod val="75000"/>
              </a:schemeClr>
            </a:solidFill>
            <a:effectLst>
              <a:outerShdw blurRad="50800" dist="38100" dir="2700000" algn="tl" rotWithShape="0">
                <a:prstClr val="black">
                  <a:alpha val="40000"/>
                </a:prstClr>
              </a:outerShdw>
            </a:effectLst>
          </c:spPr>
          <c:dPt>
            <c:idx val="0"/>
            <c:bubble3D val="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94B-4128-9B09-F7210130FF9A}"/>
              </c:ext>
            </c:extLst>
          </c:dPt>
          <c:dPt>
            <c:idx val="1"/>
            <c:bubble3D val="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94B-4128-9B09-F7210130FF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table'!$R$5:$R$7</c:f>
              <c:strCache>
                <c:ptCount val="2"/>
                <c:pt idx="0">
                  <c:v>2025</c:v>
                </c:pt>
                <c:pt idx="1">
                  <c:v>(blank)</c:v>
                </c:pt>
              </c:strCache>
            </c:strRef>
          </c:cat>
          <c:val>
            <c:numRef>
              <c:f>'pivot table'!$S$5:$S$7</c:f>
              <c:numCache>
                <c:formatCode>_-[$$-409]* #,##0.00_ ;_-[$$-409]* \-#,##0.00\ ;_-[$$-409]* "-"??_ ;_-@_ </c:formatCode>
                <c:ptCount val="2"/>
                <c:pt idx="0">
                  <c:v>20</c:v>
                </c:pt>
              </c:numCache>
            </c:numRef>
          </c:val>
          <c:extLst>
            <c:ext xmlns:c16="http://schemas.microsoft.com/office/drawing/2014/chart" uri="{C3380CC4-5D6E-409C-BE32-E72D297353CC}">
              <c16:uniqueId val="{00000004-B94B-4128-9B09-F7210130FF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STATE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9941446541317351"/>
          <c:y val="0.22516226078447171"/>
          <c:w val="0.62175087509356219"/>
          <c:h val="0.41961139942189374"/>
        </c:manualLayout>
      </c:layout>
      <c:areaChart>
        <c:grouping val="standard"/>
        <c:varyColors val="0"/>
        <c:ser>
          <c:idx val="0"/>
          <c:order val="0"/>
          <c:tx>
            <c:strRef>
              <c:f>'pivot table'!$Y$5</c:f>
              <c:strCache>
                <c:ptCount val="1"/>
                <c:pt idx="0">
                  <c:v>Sales</c:v>
                </c:pt>
              </c:strCache>
            </c:strRef>
          </c:tx>
          <c:spPr>
            <a:solidFill>
              <a:schemeClr val="accent1"/>
            </a:solidFill>
            <a:ln>
              <a:noFill/>
            </a:ln>
            <a:effectLst/>
          </c:spPr>
          <c:cat>
            <c:strRef>
              <c:f>'pivot table'!$X$6:$X$11</c:f>
              <c:strCache>
                <c:ptCount val="6"/>
                <c:pt idx="0">
                  <c:v>Delhi</c:v>
                </c:pt>
                <c:pt idx="1">
                  <c:v>Karnataka</c:v>
                </c:pt>
                <c:pt idx="2">
                  <c:v>Maharashtra</c:v>
                </c:pt>
                <c:pt idx="3">
                  <c:v>Tamil Nadu</c:v>
                </c:pt>
                <c:pt idx="4">
                  <c:v>Uttar Pradesh</c:v>
                </c:pt>
                <c:pt idx="5">
                  <c:v>West Bengal</c:v>
                </c:pt>
              </c:strCache>
            </c:strRef>
          </c:cat>
          <c:val>
            <c:numRef>
              <c:f>'pivot table'!$Y$6:$Y$11</c:f>
              <c:numCache>
                <c:formatCode>_-[$$-409]* #,##0.00_ ;_-[$$-409]* \-#,##0.00\ ;_-[$$-409]* "-"??_ ;_-@_ </c:formatCode>
                <c:ptCount val="6"/>
                <c:pt idx="0">
                  <c:v>88375</c:v>
                </c:pt>
                <c:pt idx="1">
                  <c:v>124794</c:v>
                </c:pt>
                <c:pt idx="2">
                  <c:v>75456</c:v>
                </c:pt>
                <c:pt idx="3">
                  <c:v>31017</c:v>
                </c:pt>
                <c:pt idx="4">
                  <c:v>71757</c:v>
                </c:pt>
                <c:pt idx="5">
                  <c:v>151772</c:v>
                </c:pt>
              </c:numCache>
            </c:numRef>
          </c:val>
          <c:extLst>
            <c:ext xmlns:c16="http://schemas.microsoft.com/office/drawing/2014/chart" uri="{C3380CC4-5D6E-409C-BE32-E72D297353CC}">
              <c16:uniqueId val="{00000000-3B05-4356-9290-D750DF2D5831}"/>
            </c:ext>
          </c:extLst>
        </c:ser>
        <c:dLbls>
          <c:showLegendKey val="0"/>
          <c:showVal val="0"/>
          <c:showCatName val="0"/>
          <c:showSerName val="0"/>
          <c:showPercent val="0"/>
          <c:showBubbleSize val="0"/>
        </c:dLbls>
        <c:axId val="2078208336"/>
        <c:axId val="386872112"/>
      </c:areaChart>
      <c:catAx>
        <c:axId val="207820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6872112"/>
        <c:crosses val="autoZero"/>
        <c:auto val="1"/>
        <c:lblAlgn val="ctr"/>
        <c:lblOffset val="100"/>
        <c:noMultiLvlLbl val="0"/>
      </c:catAx>
      <c:valAx>
        <c:axId val="3868721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8208336"/>
        <c:crosses val="autoZero"/>
        <c:crossBetween val="midCat"/>
      </c:valAx>
      <c:spPr>
        <a:solidFill>
          <a:schemeClr val="accent5">
            <a:lumMod val="5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TOP</a:t>
            </a:r>
            <a:r>
              <a:rPr lang="en-IN" sz="1600" b="1" baseline="0">
                <a:solidFill>
                  <a:schemeClr val="tx1"/>
                </a:solidFill>
              </a:rPr>
              <a:t> 5 CUSTOMER PROFITS</a:t>
            </a:r>
            <a:r>
              <a:rPr lang="en-IN" sz="1600" b="1">
                <a:solidFill>
                  <a:schemeClr val="tx1"/>
                </a:solidFill>
              </a:rPr>
              <a:t>l</a:t>
            </a:r>
          </a:p>
        </c:rich>
      </c:tx>
      <c:layout>
        <c:manualLayout>
          <c:xMode val="edge"/>
          <c:yMode val="edge"/>
          <c:x val="0.32201006799471316"/>
          <c:y val="0.141527342483103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97047244094492"/>
          <c:y val="0.33808485004948152"/>
          <c:w val="0.3560249343832021"/>
          <c:h val="0.56247106406781122"/>
        </c:manualLayout>
      </c:layout>
      <c:barChart>
        <c:barDir val="bar"/>
        <c:grouping val="clustered"/>
        <c:varyColors val="0"/>
        <c:ser>
          <c:idx val="0"/>
          <c:order val="0"/>
          <c:tx>
            <c:strRef>
              <c:f>'pivot table'!$AB$6</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table'!$AA$7:$AA$12</c:f>
              <c:strCache>
                <c:ptCount val="5"/>
                <c:pt idx="0">
                  <c:v>Simran Gill</c:v>
                </c:pt>
                <c:pt idx="1">
                  <c:v>Ravi Kumar</c:v>
                </c:pt>
                <c:pt idx="2">
                  <c:v>Sneha Iyer</c:v>
                </c:pt>
                <c:pt idx="3">
                  <c:v>Suresh Yadav</c:v>
                </c:pt>
                <c:pt idx="4">
                  <c:v>Divya Jain</c:v>
                </c:pt>
              </c:strCache>
            </c:strRef>
          </c:cat>
          <c:val>
            <c:numRef>
              <c:f>'pivot table'!$AB$7:$AB$12</c:f>
              <c:numCache>
                <c:formatCode>_-[$$-409]* #,##0.00_ ;_-[$$-409]* \-#,##0.00\ ;_-[$$-409]* "-"??_ ;_-@_ </c:formatCode>
                <c:ptCount val="5"/>
                <c:pt idx="0">
                  <c:v>21272</c:v>
                </c:pt>
                <c:pt idx="1">
                  <c:v>13048</c:v>
                </c:pt>
                <c:pt idx="2">
                  <c:v>11548</c:v>
                </c:pt>
                <c:pt idx="3">
                  <c:v>10967</c:v>
                </c:pt>
                <c:pt idx="4">
                  <c:v>8931</c:v>
                </c:pt>
              </c:numCache>
            </c:numRef>
          </c:val>
          <c:extLst>
            <c:ext xmlns:c16="http://schemas.microsoft.com/office/drawing/2014/chart" uri="{C3380CC4-5D6E-409C-BE32-E72D297353CC}">
              <c16:uniqueId val="{00000000-DCD9-4E71-B93B-D458A8AB0909}"/>
            </c:ext>
          </c:extLst>
        </c:ser>
        <c:dLbls>
          <c:dLblPos val="outEnd"/>
          <c:showLegendKey val="0"/>
          <c:showVal val="1"/>
          <c:showCatName val="0"/>
          <c:showSerName val="0"/>
          <c:showPercent val="0"/>
          <c:showBubbleSize val="0"/>
        </c:dLbls>
        <c:gapWidth val="50"/>
        <c:axId val="382325104"/>
        <c:axId val="2114781952"/>
      </c:barChart>
      <c:catAx>
        <c:axId val="38232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14781952"/>
        <c:crosses val="autoZero"/>
        <c:auto val="1"/>
        <c:lblAlgn val="ctr"/>
        <c:lblOffset val="100"/>
        <c:noMultiLvlLbl val="0"/>
      </c:catAx>
      <c:valAx>
        <c:axId val="2114781952"/>
        <c:scaling>
          <c:orientation val="minMax"/>
        </c:scaling>
        <c:delete val="1"/>
        <c:axPos val="b"/>
        <c:numFmt formatCode="_-[$$-409]* #,##0.00_ ;_-[$$-409]* \-#,##0.00\ ;_-[$$-409]* &quot;-&quot;??_ ;_-@_ " sourceLinked="1"/>
        <c:majorTickMark val="none"/>
        <c:minorTickMark val="none"/>
        <c:tickLblPos val="nextTo"/>
        <c:crossAx val="38232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 table!PivotTable8</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a:t>
            </a:r>
            <a:r>
              <a:rPr lang="en-IN" b="1" baseline="0">
                <a:solidFill>
                  <a:schemeClr val="tx1"/>
                </a:solidFill>
              </a:rPr>
              <a:t> BY MONTH</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3779905344528149E-2"/>
              <c:y val="1.96363613873888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5.8909084162166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837322520990219E-2"/>
              <c:y val="1.3090907591592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4449763361320373E-3"/>
              <c:y val="-5.8909084162166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1.3090907591592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30437402319397E-2"/>
          <c:y val="2.6181815183185089E-2"/>
          <c:w val="0.98086956259768066"/>
          <c:h val="0.83506590292731264"/>
        </c:manualLayout>
      </c:layout>
      <c:barChart>
        <c:barDir val="col"/>
        <c:grouping val="clustered"/>
        <c:varyColors val="0"/>
        <c:ser>
          <c:idx val="0"/>
          <c:order val="0"/>
          <c:tx>
            <c:strRef>
              <c:f>'pivot table'!$AE$6</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2-F535-42C9-9F9E-1996410C656C}"/>
              </c:ext>
            </c:extLst>
          </c:dPt>
          <c:dPt>
            <c:idx val="5"/>
            <c:invertIfNegative val="0"/>
            <c:bubble3D val="0"/>
            <c:extLst>
              <c:ext xmlns:c16="http://schemas.microsoft.com/office/drawing/2014/chart" uri="{C3380CC4-5D6E-409C-BE32-E72D297353CC}">
                <c16:uniqueId val="{00000003-F535-42C9-9F9E-1996410C656C}"/>
              </c:ext>
            </c:extLst>
          </c:dPt>
          <c:dPt>
            <c:idx val="7"/>
            <c:invertIfNegative val="0"/>
            <c:bubble3D val="0"/>
            <c:extLst>
              <c:ext xmlns:c16="http://schemas.microsoft.com/office/drawing/2014/chart" uri="{C3380CC4-5D6E-409C-BE32-E72D297353CC}">
                <c16:uniqueId val="{00000001-F535-42C9-9F9E-1996410C656C}"/>
              </c:ext>
            </c:extLst>
          </c:dPt>
          <c:dPt>
            <c:idx val="8"/>
            <c:invertIfNegative val="0"/>
            <c:bubble3D val="0"/>
            <c:extLst>
              <c:ext xmlns:c16="http://schemas.microsoft.com/office/drawing/2014/chart" uri="{C3380CC4-5D6E-409C-BE32-E72D297353CC}">
                <c16:uniqueId val="{00000005-F535-42C9-9F9E-1996410C656C}"/>
              </c:ext>
            </c:extLst>
          </c:dPt>
          <c:dPt>
            <c:idx val="10"/>
            <c:invertIfNegative val="0"/>
            <c:bubble3D val="0"/>
            <c:extLst>
              <c:ext xmlns:c16="http://schemas.microsoft.com/office/drawing/2014/chart" uri="{C3380CC4-5D6E-409C-BE32-E72D297353CC}">
                <c16:uniqueId val="{00000004-F535-42C9-9F9E-1996410C65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table'!$AD$7:$AD$8</c:f>
              <c:strCache>
                <c:ptCount val="1"/>
                <c:pt idx="0">
                  <c:v>Jan</c:v>
                </c:pt>
              </c:strCache>
            </c:strRef>
          </c:cat>
          <c:val>
            <c:numRef>
              <c:f>'pivot table'!$AE$7:$AE$8</c:f>
              <c:numCache>
                <c:formatCode>\$#,#00,\ "K"</c:formatCode>
                <c:ptCount val="1"/>
                <c:pt idx="0">
                  <c:v>543171</c:v>
                </c:pt>
              </c:numCache>
            </c:numRef>
          </c:val>
          <c:extLst>
            <c:ext xmlns:c16="http://schemas.microsoft.com/office/drawing/2014/chart" uri="{C3380CC4-5D6E-409C-BE32-E72D297353CC}">
              <c16:uniqueId val="{00000000-F535-42C9-9F9E-1996410C656C}"/>
            </c:ext>
          </c:extLst>
        </c:ser>
        <c:dLbls>
          <c:dLblPos val="outEnd"/>
          <c:showLegendKey val="0"/>
          <c:showVal val="1"/>
          <c:showCatName val="0"/>
          <c:showSerName val="0"/>
          <c:showPercent val="0"/>
          <c:showBubbleSize val="0"/>
        </c:dLbls>
        <c:gapWidth val="49"/>
        <c:overlap val="-27"/>
        <c:axId val="572207680"/>
        <c:axId val="670708432"/>
      </c:barChart>
      <c:catAx>
        <c:axId val="5722076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08432"/>
        <c:crosses val="autoZero"/>
        <c:auto val="1"/>
        <c:lblAlgn val="ctr"/>
        <c:lblOffset val="100"/>
        <c:noMultiLvlLbl val="0"/>
      </c:catAx>
      <c:valAx>
        <c:axId val="670708432"/>
        <c:scaling>
          <c:orientation val="minMax"/>
        </c:scaling>
        <c:delete val="1"/>
        <c:axPos val="l"/>
        <c:numFmt formatCode="\$#,#00,\ &quot;K&quot;" sourceLinked="1"/>
        <c:majorTickMark val="none"/>
        <c:minorTickMark val="none"/>
        <c:tickLblPos val="nextTo"/>
        <c:crossAx val="57220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11B23D5E-64B0-4750-8137-9DD8AA1A2BF9}">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600" b="1"/>
          </a:pPr>
          <a:r>
            <a:rPr lang="en-US" sz="1600" b="1" i="0" u="none" strike="noStrike" baseline="0">
              <a:solidFill>
                <a:schemeClr val="tx1"/>
              </a:solidFill>
              <a:latin typeface="Calibri"/>
            </a:rPr>
            <a:t>SALES BY CATEGORY</a:t>
          </a:r>
        </a:p>
      </cx:txPr>
    </cx:title>
    <cx:plotArea>
      <cx:plotAreaRegion>
        <cx:series layoutId="funnel" uniqueId="{11B23D5E-64B0-4750-8137-9DD8AA1A2BF9}">
          <cx:spPr>
            <a:solidFill>
              <a:schemeClr val="tx2">
                <a:lumMod val="40000"/>
                <a:lumOff val="60000"/>
              </a:schemeClr>
            </a:solidFill>
            <a:ln>
              <a:noFill/>
            </a:ln>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endParaRPr>
              </a:p>
            </cx:txPr>
            <cx:visibility seriesName="0" categoryName="0" value="1"/>
          </cx:dataLabels>
          <cx:dataId val="0"/>
        </cx:series>
      </cx:plotAreaRegion>
      <cx:axis id="0">
        <cx:catScaling gapWidth="0.49000001"/>
        <cx:tickLabels/>
        <cx:spPr>
          <a:ln>
            <a:no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412750</xdr:colOff>
      <xdr:row>8</xdr:row>
      <xdr:rowOff>165100</xdr:rowOff>
    </xdr:from>
    <xdr:to>
      <xdr:col>4</xdr:col>
      <xdr:colOff>660400</xdr:colOff>
      <xdr:row>14</xdr:row>
      <xdr:rowOff>50800</xdr:rowOff>
    </xdr:to>
    <xdr:graphicFrame macro="">
      <xdr:nvGraphicFramePr>
        <xdr:cNvPr id="3" name="Chart 2">
          <a:extLst>
            <a:ext uri="{FF2B5EF4-FFF2-40B4-BE49-F238E27FC236}">
              <a16:creationId xmlns:a16="http://schemas.microsoft.com/office/drawing/2014/main" id="{0A44F970-349E-1CB3-02A6-24811FBC5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60325</xdr:colOff>
      <xdr:row>30</xdr:row>
      <xdr:rowOff>95250</xdr:rowOff>
    </xdr:from>
    <xdr:to>
      <xdr:col>13</xdr:col>
      <xdr:colOff>228600</xdr:colOff>
      <xdr:row>42</xdr:row>
      <xdr:rowOff>88900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6EE026B9-F8C6-B760-73F8-CF1CE2620D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83325" y="5683250"/>
              <a:ext cx="3775075" cy="2203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27</xdr:col>
      <xdr:colOff>521594</xdr:colOff>
      <xdr:row>20</xdr:row>
      <xdr:rowOff>1968</xdr:rowOff>
    </xdr:from>
    <xdr:to>
      <xdr:col>30</xdr:col>
      <xdr:colOff>248634</xdr:colOff>
      <xdr:row>33</xdr:row>
      <xdr:rowOff>84473</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F8C57BD-8E42-CCB4-59AF-4ED9D4A9D7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047298" y="380302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1096225</xdr:colOff>
      <xdr:row>17</xdr:row>
      <xdr:rowOff>156246</xdr:rowOff>
    </xdr:from>
    <xdr:to>
      <xdr:col>21</xdr:col>
      <xdr:colOff>116716</xdr:colOff>
      <xdr:row>31</xdr:row>
      <xdr:rowOff>50935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8403865F-81CD-C8FD-042E-17152138504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467000" y="339385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177264</xdr:colOff>
      <xdr:row>15</xdr:row>
      <xdr:rowOff>33270</xdr:rowOff>
    </xdr:from>
    <xdr:to>
      <xdr:col>26</xdr:col>
      <xdr:colOff>771839</xdr:colOff>
      <xdr:row>28</xdr:row>
      <xdr:rowOff>115775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0AEBEEF6-A9C0-FEDD-A21B-52C0D3409E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502827" y="289524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68036</xdr:rowOff>
    </xdr:from>
    <xdr:to>
      <xdr:col>23</xdr:col>
      <xdr:colOff>238126</xdr:colOff>
      <xdr:row>40</xdr:row>
      <xdr:rowOff>34017</xdr:rowOff>
    </xdr:to>
    <xdr:sp macro="" textlink="">
      <xdr:nvSpPr>
        <xdr:cNvPr id="2" name="Rectangle: Rounded Corners 1">
          <a:extLst>
            <a:ext uri="{FF2B5EF4-FFF2-40B4-BE49-F238E27FC236}">
              <a16:creationId xmlns:a16="http://schemas.microsoft.com/office/drawing/2014/main" id="{D3928A4B-76A7-719A-5F04-64591B4B4DED}"/>
            </a:ext>
          </a:extLst>
        </xdr:cNvPr>
        <xdr:cNvSpPr/>
      </xdr:nvSpPr>
      <xdr:spPr>
        <a:xfrm>
          <a:off x="1" y="68036"/>
          <a:ext cx="14321518" cy="7223124"/>
        </a:xfrm>
        <a:prstGeom prst="roundRect">
          <a:avLst>
            <a:gd name="adj" fmla="val 302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173181</xdr:colOff>
      <xdr:row>0</xdr:row>
      <xdr:rowOff>125077</xdr:rowOff>
    </xdr:from>
    <xdr:to>
      <xdr:col>21</xdr:col>
      <xdr:colOff>464910</xdr:colOff>
      <xdr:row>5</xdr:row>
      <xdr:rowOff>128444</xdr:rowOff>
    </xdr:to>
    <xdr:sp macro="" textlink="">
      <xdr:nvSpPr>
        <xdr:cNvPr id="4" name="Rectangle: Rounded Corners 3">
          <a:extLst>
            <a:ext uri="{FF2B5EF4-FFF2-40B4-BE49-F238E27FC236}">
              <a16:creationId xmlns:a16="http://schemas.microsoft.com/office/drawing/2014/main" id="{314772B6-A06A-47E0-A97A-12280D6C3629}"/>
            </a:ext>
          </a:extLst>
        </xdr:cNvPr>
        <xdr:cNvSpPr/>
      </xdr:nvSpPr>
      <xdr:spPr>
        <a:xfrm>
          <a:off x="173181" y="125077"/>
          <a:ext cx="13150479" cy="91051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5</xdr:row>
      <xdr:rowOff>179048</xdr:rowOff>
    </xdr:from>
    <xdr:to>
      <xdr:col>2</xdr:col>
      <xdr:colOff>438150</xdr:colOff>
      <xdr:row>39</xdr:row>
      <xdr:rowOff>70555</xdr:rowOff>
    </xdr:to>
    <xdr:sp macro="" textlink="">
      <xdr:nvSpPr>
        <xdr:cNvPr id="5" name="Rectangle: Rounded Corners 4">
          <a:extLst>
            <a:ext uri="{FF2B5EF4-FFF2-40B4-BE49-F238E27FC236}">
              <a16:creationId xmlns:a16="http://schemas.microsoft.com/office/drawing/2014/main" id="{C202A229-C214-4320-8421-ECE0951556E9}"/>
            </a:ext>
          </a:extLst>
        </xdr:cNvPr>
        <xdr:cNvSpPr/>
      </xdr:nvSpPr>
      <xdr:spPr>
        <a:xfrm flipV="1">
          <a:off x="95250" y="1119789"/>
          <a:ext cx="1565863" cy="6288544"/>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lumMod val="60000"/>
                  <a:lumOff val="40000"/>
                </a:schemeClr>
              </a:solidFill>
            </a:rPr>
            <a:t>VV</a:t>
          </a:r>
        </a:p>
      </xdr:txBody>
    </xdr:sp>
    <xdr:clientData/>
  </xdr:twoCellAnchor>
  <xdr:twoCellAnchor>
    <xdr:from>
      <xdr:col>3</xdr:col>
      <xdr:colOff>38292</xdr:colOff>
      <xdr:row>6</xdr:row>
      <xdr:rowOff>57342</xdr:rowOff>
    </xdr:from>
    <xdr:to>
      <xdr:col>6</xdr:col>
      <xdr:colOff>196692</xdr:colOff>
      <xdr:row>10</xdr:row>
      <xdr:rowOff>163560</xdr:rowOff>
    </xdr:to>
    <xdr:sp macro="" textlink="">
      <xdr:nvSpPr>
        <xdr:cNvPr id="6" name="Rectangle: Rounded Corners 5">
          <a:extLst>
            <a:ext uri="{FF2B5EF4-FFF2-40B4-BE49-F238E27FC236}">
              <a16:creationId xmlns:a16="http://schemas.microsoft.com/office/drawing/2014/main" id="{851216D7-DA7F-5CE3-A037-52FBA3B23223}"/>
            </a:ext>
          </a:extLst>
        </xdr:cNvPr>
        <xdr:cNvSpPr/>
      </xdr:nvSpPr>
      <xdr:spPr>
        <a:xfrm>
          <a:off x="1872736" y="1186231"/>
          <a:ext cx="1992845" cy="858810"/>
        </a:xfrm>
        <a:prstGeom prst="roundRect">
          <a:avLst/>
        </a:prstGeom>
        <a:gradFill>
          <a:gsLst>
            <a:gs pos="59178">
              <a:schemeClr val="accent1">
                <a:lumMod val="40000"/>
                <a:lumOff val="60000"/>
              </a:schemeClr>
            </a:gs>
            <a:gs pos="14948">
              <a:srgbClr val="2A6782"/>
            </a:gs>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538788</xdr:colOff>
      <xdr:row>11</xdr:row>
      <xdr:rowOff>50993</xdr:rowOff>
    </xdr:from>
    <xdr:to>
      <xdr:col>9</xdr:col>
      <xdr:colOff>514350</xdr:colOff>
      <xdr:row>24</xdr:row>
      <xdr:rowOff>136071</xdr:rowOff>
    </xdr:to>
    <xdr:sp macro="" textlink="">
      <xdr:nvSpPr>
        <xdr:cNvPr id="8" name="Rectangle: Rounded Corners 7">
          <a:extLst>
            <a:ext uri="{FF2B5EF4-FFF2-40B4-BE49-F238E27FC236}">
              <a16:creationId xmlns:a16="http://schemas.microsoft.com/office/drawing/2014/main" id="{494E96B2-37B1-4B6A-846B-AE55FBD23233}"/>
            </a:ext>
          </a:extLst>
        </xdr:cNvPr>
        <xdr:cNvSpPr/>
      </xdr:nvSpPr>
      <xdr:spPr>
        <a:xfrm>
          <a:off x="1761751" y="2120623"/>
          <a:ext cx="4255932" cy="2531004"/>
        </a:xfrm>
        <a:prstGeom prst="roundRect">
          <a:avLst/>
        </a:prstGeom>
        <a:gradFill>
          <a:gsLst>
            <a:gs pos="59178">
              <a:schemeClr val="accent1">
                <a:lumMod val="40000"/>
                <a:lumOff val="60000"/>
              </a:schemeClr>
            </a:gs>
            <a:gs pos="14948">
              <a:srgbClr val="2A6782"/>
            </a:gs>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6</xdr:row>
      <xdr:rowOff>38099</xdr:rowOff>
    </xdr:from>
    <xdr:to>
      <xdr:col>9</xdr:col>
      <xdr:colOff>463200</xdr:colOff>
      <xdr:row>10</xdr:row>
      <xdr:rowOff>134696</xdr:rowOff>
    </xdr:to>
    <xdr:sp macro="" textlink="">
      <xdr:nvSpPr>
        <xdr:cNvPr id="9" name="Rectangle: Rounded Corners 8">
          <a:extLst>
            <a:ext uri="{FF2B5EF4-FFF2-40B4-BE49-F238E27FC236}">
              <a16:creationId xmlns:a16="http://schemas.microsoft.com/office/drawing/2014/main" id="{314A2786-ED39-4670-843E-765D5941C217}"/>
            </a:ext>
          </a:extLst>
        </xdr:cNvPr>
        <xdr:cNvSpPr/>
      </xdr:nvSpPr>
      <xdr:spPr>
        <a:xfrm>
          <a:off x="3973689" y="1166988"/>
          <a:ext cx="1992844" cy="849189"/>
        </a:xfrm>
        <a:prstGeom prst="roundRect">
          <a:avLst/>
        </a:prstGeom>
        <a:gradFill>
          <a:gsLst>
            <a:gs pos="59178">
              <a:schemeClr val="accent1">
                <a:lumMod val="40000"/>
                <a:lumOff val="60000"/>
              </a:schemeClr>
            </a:gs>
            <a:gs pos="14948">
              <a:srgbClr val="2A6782"/>
            </a:gs>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541537</xdr:colOff>
      <xdr:row>25</xdr:row>
      <xdr:rowOff>79375</xdr:rowOff>
    </xdr:from>
    <xdr:to>
      <xdr:col>9</xdr:col>
      <xdr:colOff>522295</xdr:colOff>
      <xdr:row>39</xdr:row>
      <xdr:rowOff>0</xdr:rowOff>
    </xdr:to>
    <xdr:sp macro="" textlink="">
      <xdr:nvSpPr>
        <xdr:cNvPr id="10" name="Rectangle: Rounded Corners 9">
          <a:extLst>
            <a:ext uri="{FF2B5EF4-FFF2-40B4-BE49-F238E27FC236}">
              <a16:creationId xmlns:a16="http://schemas.microsoft.com/office/drawing/2014/main" id="{4CD6DFB3-631E-43F8-AD95-224D30FCF8AD}"/>
            </a:ext>
          </a:extLst>
        </xdr:cNvPr>
        <xdr:cNvSpPr/>
      </xdr:nvSpPr>
      <xdr:spPr>
        <a:xfrm>
          <a:off x="1764500" y="4783079"/>
          <a:ext cx="4261128" cy="2554699"/>
        </a:xfrm>
        <a:prstGeom prst="roundRect">
          <a:avLst/>
        </a:prstGeom>
        <a:gradFill>
          <a:gsLst>
            <a:gs pos="59178">
              <a:schemeClr val="accent1">
                <a:lumMod val="40000"/>
                <a:lumOff val="60000"/>
              </a:schemeClr>
            </a:gs>
            <a:gs pos="14948">
              <a:srgbClr val="2A6782"/>
            </a:gs>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574013</xdr:colOff>
      <xdr:row>6</xdr:row>
      <xdr:rowOff>34020</xdr:rowOff>
    </xdr:from>
    <xdr:to>
      <xdr:col>17</xdr:col>
      <xdr:colOff>22679</xdr:colOff>
      <xdr:row>27</xdr:row>
      <xdr:rowOff>129353</xdr:rowOff>
    </xdr:to>
    <xdr:sp macro="" textlink="">
      <xdr:nvSpPr>
        <xdr:cNvPr id="11" name="Rectangle: Rounded Corners 10">
          <a:extLst>
            <a:ext uri="{FF2B5EF4-FFF2-40B4-BE49-F238E27FC236}">
              <a16:creationId xmlns:a16="http://schemas.microsoft.com/office/drawing/2014/main" id="{CE8C0495-EA26-4A94-BD69-E24DFA56DDA7}"/>
            </a:ext>
          </a:extLst>
        </xdr:cNvPr>
        <xdr:cNvSpPr/>
      </xdr:nvSpPr>
      <xdr:spPr>
        <a:xfrm>
          <a:off x="6077346" y="1162909"/>
          <a:ext cx="4340518" cy="4046444"/>
        </a:xfrm>
        <a:prstGeom prst="roundRect">
          <a:avLst/>
        </a:prstGeom>
        <a:gradFill>
          <a:gsLst>
            <a:gs pos="59178">
              <a:schemeClr val="accent1">
                <a:lumMod val="40000"/>
                <a:lumOff val="60000"/>
              </a:schemeClr>
            </a:gs>
            <a:gs pos="14948">
              <a:srgbClr val="2A6782"/>
            </a:gs>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2100</xdr:colOff>
      <xdr:row>28</xdr:row>
      <xdr:rowOff>23520</xdr:rowOff>
    </xdr:from>
    <xdr:to>
      <xdr:col>22</xdr:col>
      <xdr:colOff>47036</xdr:colOff>
      <xdr:row>38</xdr:row>
      <xdr:rowOff>117594</xdr:rowOff>
    </xdr:to>
    <xdr:sp macro="" textlink="">
      <xdr:nvSpPr>
        <xdr:cNvPr id="12" name="Rectangle: Rounded Corners 11">
          <a:extLst>
            <a:ext uri="{FF2B5EF4-FFF2-40B4-BE49-F238E27FC236}">
              <a16:creationId xmlns:a16="http://schemas.microsoft.com/office/drawing/2014/main" id="{6FADFA40-0AB2-41F1-8947-3CC3B2985F87}"/>
            </a:ext>
          </a:extLst>
        </xdr:cNvPr>
        <xdr:cNvSpPr/>
      </xdr:nvSpPr>
      <xdr:spPr>
        <a:xfrm>
          <a:off x="6116915" y="5291668"/>
          <a:ext cx="7382714" cy="1975556"/>
        </a:xfrm>
        <a:prstGeom prst="roundRect">
          <a:avLst/>
        </a:prstGeom>
        <a:gradFill>
          <a:gsLst>
            <a:gs pos="59178">
              <a:schemeClr val="accent1">
                <a:lumMod val="40000"/>
                <a:lumOff val="60000"/>
              </a:schemeClr>
            </a:gs>
            <a:gs pos="14948">
              <a:srgbClr val="2A6782"/>
            </a:gs>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136073</xdr:colOff>
      <xdr:row>6</xdr:row>
      <xdr:rowOff>7904</xdr:rowOff>
    </xdr:from>
    <xdr:to>
      <xdr:col>22</xdr:col>
      <xdr:colOff>14776</xdr:colOff>
      <xdr:row>16</xdr:row>
      <xdr:rowOff>34018</xdr:rowOff>
    </xdr:to>
    <xdr:sp macro="" textlink="">
      <xdr:nvSpPr>
        <xdr:cNvPr id="13" name="Rectangle: Rounded Corners 12">
          <a:extLst>
            <a:ext uri="{FF2B5EF4-FFF2-40B4-BE49-F238E27FC236}">
              <a16:creationId xmlns:a16="http://schemas.microsoft.com/office/drawing/2014/main" id="{4FE10BA4-34A2-4695-812D-4ED651CC7A2B}"/>
            </a:ext>
          </a:extLst>
        </xdr:cNvPr>
        <xdr:cNvSpPr/>
      </xdr:nvSpPr>
      <xdr:spPr>
        <a:xfrm>
          <a:off x="10545537" y="1096475"/>
          <a:ext cx="2940310" cy="1840400"/>
        </a:xfrm>
        <a:prstGeom prst="roundRect">
          <a:avLst/>
        </a:prstGeom>
        <a:gradFill>
          <a:gsLst>
            <a:gs pos="59178">
              <a:schemeClr val="accent1">
                <a:lumMod val="40000"/>
                <a:lumOff val="60000"/>
              </a:schemeClr>
            </a:gs>
            <a:gs pos="14948">
              <a:srgbClr val="2A6782"/>
            </a:gs>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124732</xdr:colOff>
      <xdr:row>16</xdr:row>
      <xdr:rowOff>77467</xdr:rowOff>
    </xdr:from>
    <xdr:to>
      <xdr:col>22</xdr:col>
      <xdr:colOff>74909</xdr:colOff>
      <xdr:row>27</xdr:row>
      <xdr:rowOff>162530</xdr:rowOff>
    </xdr:to>
    <xdr:sp macro="" textlink="">
      <xdr:nvSpPr>
        <xdr:cNvPr id="14" name="Rectangle: Rounded Corners 13">
          <a:extLst>
            <a:ext uri="{FF2B5EF4-FFF2-40B4-BE49-F238E27FC236}">
              <a16:creationId xmlns:a16="http://schemas.microsoft.com/office/drawing/2014/main" id="{A27B9AE4-048D-4BCF-971E-457F8B36E347}"/>
            </a:ext>
          </a:extLst>
        </xdr:cNvPr>
        <xdr:cNvSpPr/>
      </xdr:nvSpPr>
      <xdr:spPr>
        <a:xfrm>
          <a:off x="10519917" y="3087837"/>
          <a:ext cx="3007585" cy="2154693"/>
        </a:xfrm>
        <a:prstGeom prst="roundRect">
          <a:avLst/>
        </a:prstGeom>
        <a:gradFill>
          <a:gsLst>
            <a:gs pos="59178">
              <a:schemeClr val="accent1">
                <a:lumMod val="40000"/>
                <a:lumOff val="60000"/>
              </a:schemeClr>
            </a:gs>
            <a:gs pos="14948">
              <a:srgbClr val="2A6782"/>
            </a:gs>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596516</xdr:colOff>
      <xdr:row>1</xdr:row>
      <xdr:rowOff>9621</xdr:rowOff>
    </xdr:from>
    <xdr:to>
      <xdr:col>16</xdr:col>
      <xdr:colOff>365607</xdr:colOff>
      <xdr:row>5</xdr:row>
      <xdr:rowOff>9621</xdr:rowOff>
    </xdr:to>
    <xdr:sp macro="" textlink="">
      <xdr:nvSpPr>
        <xdr:cNvPr id="15" name="TextBox 14">
          <a:extLst>
            <a:ext uri="{FF2B5EF4-FFF2-40B4-BE49-F238E27FC236}">
              <a16:creationId xmlns:a16="http://schemas.microsoft.com/office/drawing/2014/main" id="{0970D3D1-CB48-641B-5CA5-2303B367FCC3}"/>
            </a:ext>
          </a:extLst>
        </xdr:cNvPr>
        <xdr:cNvSpPr txBox="1"/>
      </xdr:nvSpPr>
      <xdr:spPr>
        <a:xfrm>
          <a:off x="1808789" y="192424"/>
          <a:ext cx="8255000" cy="73121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rgbClr val="002060"/>
              </a:solidFill>
            </a:rPr>
            <a:t>SALES AND PROFIT DASHBOARD</a:t>
          </a:r>
        </a:p>
      </xdr:txBody>
    </xdr:sp>
    <xdr:clientData/>
  </xdr:twoCellAnchor>
  <xdr:twoCellAnchor editAs="oneCell">
    <xdr:from>
      <xdr:col>0</xdr:col>
      <xdr:colOff>452199</xdr:colOff>
      <xdr:row>0</xdr:row>
      <xdr:rowOff>134697</xdr:rowOff>
    </xdr:from>
    <xdr:to>
      <xdr:col>2</xdr:col>
      <xdr:colOff>154326</xdr:colOff>
      <xdr:row>5</xdr:row>
      <xdr:rowOff>135082</xdr:rowOff>
    </xdr:to>
    <xdr:pic>
      <xdr:nvPicPr>
        <xdr:cNvPr id="17" name="Graphic 16" descr="Bar graph with upward trend with solid fill">
          <a:extLst>
            <a:ext uri="{FF2B5EF4-FFF2-40B4-BE49-F238E27FC236}">
              <a16:creationId xmlns:a16="http://schemas.microsoft.com/office/drawing/2014/main" id="{D194AE15-121E-CFF0-4E62-682B6BDF65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52199" y="134697"/>
          <a:ext cx="914400" cy="914400"/>
        </a:xfrm>
        <a:prstGeom prst="rect">
          <a:avLst/>
        </a:prstGeom>
      </xdr:spPr>
    </xdr:pic>
    <xdr:clientData/>
  </xdr:twoCellAnchor>
  <xdr:twoCellAnchor editAs="oneCell">
    <xdr:from>
      <xdr:col>3</xdr:col>
      <xdr:colOff>96212</xdr:colOff>
      <xdr:row>6</xdr:row>
      <xdr:rowOff>95303</xdr:rowOff>
    </xdr:from>
    <xdr:to>
      <xdr:col>3</xdr:col>
      <xdr:colOff>577274</xdr:colOff>
      <xdr:row>10</xdr:row>
      <xdr:rowOff>1</xdr:rowOff>
    </xdr:to>
    <xdr:pic>
      <xdr:nvPicPr>
        <xdr:cNvPr id="19" name="Graphic 18" descr="Coins with solid fill">
          <a:extLst>
            <a:ext uri="{FF2B5EF4-FFF2-40B4-BE49-F238E27FC236}">
              <a16:creationId xmlns:a16="http://schemas.microsoft.com/office/drawing/2014/main" id="{A3980710-F35D-1308-DFD7-5B4FEA3BF9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930656" y="1224192"/>
          <a:ext cx="481062" cy="657290"/>
        </a:xfrm>
        <a:prstGeom prst="rect">
          <a:avLst/>
        </a:prstGeom>
      </xdr:spPr>
    </xdr:pic>
    <xdr:clientData/>
  </xdr:twoCellAnchor>
  <xdr:twoCellAnchor>
    <xdr:from>
      <xdr:col>3</xdr:col>
      <xdr:colOff>567652</xdr:colOff>
      <xdr:row>6</xdr:row>
      <xdr:rowOff>153940</xdr:rowOff>
    </xdr:from>
    <xdr:to>
      <xdr:col>6</xdr:col>
      <xdr:colOff>57726</xdr:colOff>
      <xdr:row>9</xdr:row>
      <xdr:rowOff>38486</xdr:rowOff>
    </xdr:to>
    <xdr:sp macro="" textlink="">
      <xdr:nvSpPr>
        <xdr:cNvPr id="20" name="TextBox 19">
          <a:extLst>
            <a:ext uri="{FF2B5EF4-FFF2-40B4-BE49-F238E27FC236}">
              <a16:creationId xmlns:a16="http://schemas.microsoft.com/office/drawing/2014/main" id="{0AF23164-A9B6-FC36-C26A-EEBD779F8784}"/>
            </a:ext>
          </a:extLst>
        </xdr:cNvPr>
        <xdr:cNvSpPr txBox="1"/>
      </xdr:nvSpPr>
      <xdr:spPr>
        <a:xfrm>
          <a:off x="2386061" y="1250758"/>
          <a:ext cx="1308483"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SALES</a:t>
          </a:r>
        </a:p>
      </xdr:txBody>
    </xdr:sp>
    <xdr:clientData/>
  </xdr:twoCellAnchor>
  <xdr:twoCellAnchor>
    <xdr:from>
      <xdr:col>7</xdr:col>
      <xdr:colOff>173181</xdr:colOff>
      <xdr:row>6</xdr:row>
      <xdr:rowOff>144318</xdr:rowOff>
    </xdr:from>
    <xdr:to>
      <xdr:col>9</xdr:col>
      <xdr:colOff>394470</xdr:colOff>
      <xdr:row>8</xdr:row>
      <xdr:rowOff>105834</xdr:rowOff>
    </xdr:to>
    <xdr:sp macro="" textlink="">
      <xdr:nvSpPr>
        <xdr:cNvPr id="22" name="TextBox 21">
          <a:extLst>
            <a:ext uri="{FF2B5EF4-FFF2-40B4-BE49-F238E27FC236}">
              <a16:creationId xmlns:a16="http://schemas.microsoft.com/office/drawing/2014/main" id="{5DCE474F-6F20-C387-99B6-7DCD989AE0B3}"/>
            </a:ext>
          </a:extLst>
        </xdr:cNvPr>
        <xdr:cNvSpPr txBox="1"/>
      </xdr:nvSpPr>
      <xdr:spPr>
        <a:xfrm>
          <a:off x="4416136" y="1241136"/>
          <a:ext cx="1433561" cy="327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PROFIT</a:t>
          </a:r>
        </a:p>
      </xdr:txBody>
    </xdr:sp>
    <xdr:clientData/>
  </xdr:twoCellAnchor>
  <xdr:twoCellAnchor editAs="oneCell">
    <xdr:from>
      <xdr:col>6</xdr:col>
      <xdr:colOff>317501</xdr:colOff>
      <xdr:row>6</xdr:row>
      <xdr:rowOff>147068</xdr:rowOff>
    </xdr:from>
    <xdr:to>
      <xdr:col>7</xdr:col>
      <xdr:colOff>173182</xdr:colOff>
      <xdr:row>9</xdr:row>
      <xdr:rowOff>115455</xdr:rowOff>
    </xdr:to>
    <xdr:pic>
      <xdr:nvPicPr>
        <xdr:cNvPr id="24" name="Graphic 23" descr="Money with solid fill">
          <a:extLst>
            <a:ext uri="{FF2B5EF4-FFF2-40B4-BE49-F238E27FC236}">
              <a16:creationId xmlns:a16="http://schemas.microsoft.com/office/drawing/2014/main" id="{0B0CB260-D638-DC72-CD44-40ADCDBACBE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954319" y="1243886"/>
          <a:ext cx="461818" cy="516796"/>
        </a:xfrm>
        <a:prstGeom prst="rect">
          <a:avLst/>
        </a:prstGeom>
      </xdr:spPr>
    </xdr:pic>
    <xdr:clientData/>
  </xdr:twoCellAnchor>
  <xdr:twoCellAnchor>
    <xdr:from>
      <xdr:col>4</xdr:col>
      <xdr:colOff>96212</xdr:colOff>
      <xdr:row>8</xdr:row>
      <xdr:rowOff>67350</xdr:rowOff>
    </xdr:from>
    <xdr:to>
      <xdr:col>6</xdr:col>
      <xdr:colOff>182802</xdr:colOff>
      <xdr:row>10</xdr:row>
      <xdr:rowOff>125076</xdr:rowOff>
    </xdr:to>
    <xdr:sp macro="" textlink="'pivot table'!A11">
      <xdr:nvSpPr>
        <xdr:cNvPr id="26" name="TextBox 25">
          <a:extLst>
            <a:ext uri="{FF2B5EF4-FFF2-40B4-BE49-F238E27FC236}">
              <a16:creationId xmlns:a16="http://schemas.microsoft.com/office/drawing/2014/main" id="{5E6B16ED-8991-C8DD-DE3F-83F79999444B}"/>
            </a:ext>
          </a:extLst>
        </xdr:cNvPr>
        <xdr:cNvSpPr txBox="1"/>
      </xdr:nvSpPr>
      <xdr:spPr>
        <a:xfrm>
          <a:off x="2542138" y="1572535"/>
          <a:ext cx="1309553" cy="434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B775FD-D105-4C1B-8E9F-FECB9A0BB4D8}" type="TxLink">
            <a:rPr lang="en-US" sz="1600" b="1" i="0" u="none" strike="noStrike">
              <a:solidFill>
                <a:srgbClr val="000000"/>
              </a:solidFill>
              <a:latin typeface="Calibri"/>
              <a:ea typeface="Calibri"/>
              <a:cs typeface="Calibri"/>
            </a:rPr>
            <a:pPr/>
            <a:t> $5,43,171 </a:t>
          </a:fld>
          <a:endParaRPr lang="en-IN" sz="1600" b="1"/>
        </a:p>
      </xdr:txBody>
    </xdr:sp>
    <xdr:clientData/>
  </xdr:twoCellAnchor>
  <xdr:twoCellAnchor>
    <xdr:from>
      <xdr:col>7</xdr:col>
      <xdr:colOff>307878</xdr:colOff>
      <xdr:row>8</xdr:row>
      <xdr:rowOff>67348</xdr:rowOff>
    </xdr:from>
    <xdr:to>
      <xdr:col>9</xdr:col>
      <xdr:colOff>423334</xdr:colOff>
      <xdr:row>10</xdr:row>
      <xdr:rowOff>96211</xdr:rowOff>
    </xdr:to>
    <xdr:sp macro="" textlink="'pivot table'!A12">
      <xdr:nvSpPr>
        <xdr:cNvPr id="27" name="TextBox 26">
          <a:extLst>
            <a:ext uri="{FF2B5EF4-FFF2-40B4-BE49-F238E27FC236}">
              <a16:creationId xmlns:a16="http://schemas.microsoft.com/office/drawing/2014/main" id="{5177AACC-B634-4D3C-995F-2A88467EEED1}"/>
            </a:ext>
          </a:extLst>
        </xdr:cNvPr>
        <xdr:cNvSpPr txBox="1"/>
      </xdr:nvSpPr>
      <xdr:spPr>
        <a:xfrm>
          <a:off x="4550833" y="1529772"/>
          <a:ext cx="1327728" cy="394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6D941C-C8A7-4252-8160-08CDD777EEE9}" type="TxLink">
            <a:rPr lang="en-US" sz="1400" b="1" i="0" u="none" strike="noStrike">
              <a:solidFill>
                <a:srgbClr val="000000"/>
              </a:solidFill>
              <a:latin typeface="Calibri"/>
              <a:ea typeface="Calibri"/>
              <a:cs typeface="Calibri"/>
            </a:rPr>
            <a:pPr/>
            <a:t> $90,186 </a:t>
          </a:fld>
          <a:endParaRPr lang="en-IN" sz="1400" b="1"/>
        </a:p>
      </xdr:txBody>
    </xdr:sp>
    <xdr:clientData/>
  </xdr:twoCellAnchor>
  <xdr:twoCellAnchor>
    <xdr:from>
      <xdr:col>2</xdr:col>
      <xdr:colOff>574867</xdr:colOff>
      <xdr:row>11</xdr:row>
      <xdr:rowOff>102397</xdr:rowOff>
    </xdr:from>
    <xdr:to>
      <xdr:col>9</xdr:col>
      <xdr:colOff>347394</xdr:colOff>
      <xdr:row>24</xdr:row>
      <xdr:rowOff>124731</xdr:rowOff>
    </xdr:to>
    <xdr:graphicFrame macro="">
      <xdr:nvGraphicFramePr>
        <xdr:cNvPr id="28" name="Chart 27">
          <a:extLst>
            <a:ext uri="{FF2B5EF4-FFF2-40B4-BE49-F238E27FC236}">
              <a16:creationId xmlns:a16="http://schemas.microsoft.com/office/drawing/2014/main" id="{30826BF9-7C20-4DDC-972B-993EA6C98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226785</xdr:colOff>
      <xdr:row>6</xdr:row>
      <xdr:rowOff>124733</xdr:rowOff>
    </xdr:from>
    <xdr:to>
      <xdr:col>17</xdr:col>
      <xdr:colOff>0</xdr:colOff>
      <xdr:row>34</xdr:row>
      <xdr:rowOff>34018</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EDF55625-8117-48B3-97FD-0F3ED385FD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322785" y="1229633"/>
              <a:ext cx="4040415" cy="50654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238126</xdr:colOff>
      <xdr:row>6</xdr:row>
      <xdr:rowOff>22679</xdr:rowOff>
    </xdr:from>
    <xdr:to>
      <xdr:col>22</xdr:col>
      <xdr:colOff>11341</xdr:colOff>
      <xdr:row>14</xdr:row>
      <xdr:rowOff>68036</xdr:rowOff>
    </xdr:to>
    <xdr:graphicFrame macro="">
      <xdr:nvGraphicFramePr>
        <xdr:cNvPr id="31" name="Chart 30">
          <a:extLst>
            <a:ext uri="{FF2B5EF4-FFF2-40B4-BE49-F238E27FC236}">
              <a16:creationId xmlns:a16="http://schemas.microsoft.com/office/drawing/2014/main" id="{FE1ECB71-BA51-4B5E-B9BA-047C4409D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100794</xdr:colOff>
      <xdr:row>16</xdr:row>
      <xdr:rowOff>139850</xdr:rowOff>
    </xdr:from>
    <xdr:to>
      <xdr:col>22</xdr:col>
      <xdr:colOff>66777</xdr:colOff>
      <xdr:row>27</xdr:row>
      <xdr:rowOff>105832</xdr:rowOff>
    </xdr:to>
    <xdr:graphicFrame macro="">
      <xdr:nvGraphicFramePr>
        <xdr:cNvPr id="32" name="Chart 31">
          <a:extLst>
            <a:ext uri="{FF2B5EF4-FFF2-40B4-BE49-F238E27FC236}">
              <a16:creationId xmlns:a16="http://schemas.microsoft.com/office/drawing/2014/main" id="{38F7D971-A0C9-4A4A-8FB4-4CA3677DF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512055</xdr:colOff>
      <xdr:row>24</xdr:row>
      <xdr:rowOff>127000</xdr:rowOff>
    </xdr:from>
    <xdr:to>
      <xdr:col>10</xdr:col>
      <xdr:colOff>15875</xdr:colOff>
      <xdr:row>38</xdr:row>
      <xdr:rowOff>95250</xdr:rowOff>
    </xdr:to>
    <xdr:graphicFrame macro="">
      <xdr:nvGraphicFramePr>
        <xdr:cNvPr id="33" name="Chart 32">
          <a:extLst>
            <a:ext uri="{FF2B5EF4-FFF2-40B4-BE49-F238E27FC236}">
              <a16:creationId xmlns:a16="http://schemas.microsoft.com/office/drawing/2014/main" id="{48BA6987-087E-4FAA-8B0A-8D7E9D4A9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576204</xdr:colOff>
      <xdr:row>28</xdr:row>
      <xdr:rowOff>82316</xdr:rowOff>
    </xdr:from>
    <xdr:to>
      <xdr:col>22</xdr:col>
      <xdr:colOff>-1</xdr:colOff>
      <xdr:row>38</xdr:row>
      <xdr:rowOff>141112</xdr:rowOff>
    </xdr:to>
    <xdr:graphicFrame macro="">
      <xdr:nvGraphicFramePr>
        <xdr:cNvPr id="34" name="Chart 33">
          <a:extLst>
            <a:ext uri="{FF2B5EF4-FFF2-40B4-BE49-F238E27FC236}">
              <a16:creationId xmlns:a16="http://schemas.microsoft.com/office/drawing/2014/main" id="{62A47213-A497-412B-B06C-694DB48E2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165806</xdr:colOff>
      <xdr:row>32</xdr:row>
      <xdr:rowOff>141110</xdr:rowOff>
    </xdr:from>
    <xdr:to>
      <xdr:col>2</xdr:col>
      <xdr:colOff>364537</xdr:colOff>
      <xdr:row>37</xdr:row>
      <xdr:rowOff>127896</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D9B50357-B4DA-48B2-8E2F-9967575C1D1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5806" y="6161851"/>
              <a:ext cx="1421694" cy="927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165806</xdr:colOff>
      <xdr:row>15</xdr:row>
      <xdr:rowOff>141110</xdr:rowOff>
    </xdr:from>
    <xdr:to>
      <xdr:col>2</xdr:col>
      <xdr:colOff>317500</xdr:colOff>
      <xdr:row>32</xdr:row>
      <xdr:rowOff>11759</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44C9D417-1938-4550-AB68-D3E0EBFC96A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5806" y="2963332"/>
              <a:ext cx="1374657" cy="3069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165805</xdr:colOff>
      <xdr:row>7</xdr:row>
      <xdr:rowOff>2660</xdr:rowOff>
    </xdr:from>
    <xdr:to>
      <xdr:col>2</xdr:col>
      <xdr:colOff>364536</xdr:colOff>
      <xdr:row>15</xdr:row>
      <xdr:rowOff>35278</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F4B13923-F0D9-4CB6-82E4-56E45D60A3D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5805" y="1319697"/>
              <a:ext cx="1421694" cy="1537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599723</xdr:colOff>
      <xdr:row>0</xdr:row>
      <xdr:rowOff>129351</xdr:rowOff>
    </xdr:from>
    <xdr:to>
      <xdr:col>21</xdr:col>
      <xdr:colOff>291160</xdr:colOff>
      <xdr:row>5</xdr:row>
      <xdr:rowOff>103010</xdr:rowOff>
    </xdr:to>
    <xdr:pic>
      <xdr:nvPicPr>
        <xdr:cNvPr id="21" name="Graphic 20" descr="Internet with solid fill">
          <a:extLst>
            <a:ext uri="{FF2B5EF4-FFF2-40B4-BE49-F238E27FC236}">
              <a16:creationId xmlns:a16="http://schemas.microsoft.com/office/drawing/2014/main" id="{ADD67B40-FE74-A9F0-02BF-7BB83C00C4C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217871" y="129351"/>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2.855152662036" createdVersion="8" refreshedVersion="8" minRefreshableVersion="3" recordCount="200" xr:uid="{78F15D94-096D-4122-BF39-40B04DD3711D}">
  <cacheSource type="worksheet">
    <worksheetSource name="Table2"/>
  </cacheSource>
  <cacheFields count="11">
    <cacheField name="Order Date" numFmtId="0">
      <sharedItems/>
    </cacheField>
    <cacheField name="Customer Name" numFmtId="0">
      <sharedItems count="20">
        <s v="Isha Kapoor"/>
        <s v="Priya Singh"/>
        <s v="Amit Sharma"/>
        <s v="Arjun Sethi"/>
        <s v="Karan Joshi"/>
        <s v="Neha Verma"/>
        <s v="Nidhi Agarwal"/>
        <s v="Divya Jain"/>
        <s v="Simran Gill"/>
        <s v="Manoj Gupta"/>
        <s v="Ravi Kumar"/>
        <s v="Pooja Nair"/>
        <s v="Alok Bhatia"/>
        <s v="Rohit Mehta"/>
        <s v="Suresh Yadav"/>
        <s v="Sneha Iyer"/>
        <s v="Rakesh Reddy"/>
        <s v="Vikas Chauhan"/>
        <s v="Anita Das"/>
        <s v="Vinod Malhotra"/>
      </sharedItems>
    </cacheField>
    <cacheField name="State" numFmtId="0">
      <sharedItems count="6">
        <s v="Uttar Pradesh"/>
        <s v="Karnataka"/>
        <s v="Maharashtra"/>
        <s v="Tamil Nadu"/>
        <s v="Delhi"/>
        <s v="West Bengal"/>
      </sharedItems>
    </cacheField>
    <cacheField name="Category" numFmtId="0">
      <sharedItems count="3">
        <s v="Office Supplies"/>
        <s v="Technology"/>
        <s v="Furniture"/>
      </sharedItems>
    </cacheField>
    <cacheField name="Sub-Category" numFmtId="0">
      <sharedItems count="20">
        <s v="Staplers"/>
        <s v="Pens"/>
        <s v="Cameras"/>
        <s v="Binders"/>
        <s v="Sofas"/>
        <s v="Mobiles"/>
        <s v="Monitors"/>
        <s v="Tables"/>
        <s v="Bookcases"/>
        <s v="Desks"/>
        <s v="Envelopes"/>
        <s v="Cupboards"/>
        <s v="Headphones"/>
        <s v="Chairs"/>
        <s v="Beds"/>
        <s v="Paper"/>
        <s v="Laptops"/>
        <s v="Printers"/>
        <s v="Folders"/>
        <s v="Tablets"/>
      </sharedItems>
    </cacheField>
    <cacheField name="Product Name" numFmtId="0">
      <sharedItems/>
    </cacheField>
    <cacheField name="Sales" numFmtId="0">
      <sharedItems containsSemiMixedTypes="0" containsString="0" containsNumber="1" containsInteger="1" minValue="1699" maxValue="59504"/>
    </cacheField>
    <cacheField name="Quantity" numFmtId="0">
      <sharedItems containsSemiMixedTypes="0" containsString="0" containsNumber="1" containsInteger="1" minValue="1" maxValue="99"/>
    </cacheField>
    <cacheField name="Profit" numFmtId="0">
      <sharedItems containsSemiMixedTypes="0" containsString="0" containsNumber="1" containsInteger="1" minValue="115" maxValue="16046"/>
    </cacheField>
    <cacheField name="Month" numFmtId="0">
      <sharedItems count="12">
        <s v="Nov"/>
        <s v="Aug"/>
        <s v="Dec"/>
        <s v="Mar"/>
        <s v="Jul"/>
        <s v="Apr"/>
        <s v="Jun"/>
        <s v="Sep"/>
        <s v="Jan"/>
        <s v="May"/>
        <s v="Oct"/>
        <s v="Feb"/>
      </sharedItems>
    </cacheField>
    <cacheField name="Year" numFmtId="0">
      <sharedItems containsSemiMixedTypes="0" containsString="0" containsNumber="1" containsInteger="1" minValue="2025" maxValue="2025" count="1">
        <n v="2025"/>
      </sharedItems>
    </cacheField>
  </cacheFields>
  <extLst>
    <ext xmlns:x14="http://schemas.microsoft.com/office/spreadsheetml/2009/9/main" uri="{725AE2AE-9491-48be-B2B4-4EB974FC3084}">
      <x14:pivotCacheDefinition pivotCacheId="11687367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2.869223148147" createdVersion="8" refreshedVersion="8" minRefreshableVersion="3" recordCount="200" xr:uid="{504C73FD-CEC1-4BEE-924F-AD777D64BEFF}">
  <cacheSource type="worksheet">
    <worksheetSource ref="O1:P201" sheet="pivot table"/>
  </cacheSource>
  <cacheFields count="2">
    <cacheField name="Customer Name" numFmtId="0">
      <sharedItems containsBlank="1"/>
    </cacheField>
    <cacheField name="Year" numFmtId="0">
      <sharedItems containsString="0" containsBlank="1" containsNumber="1" containsInteger="1" minValue="2025" maxValue="2025" count="2">
        <n v="2025"/>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5-11-08"/>
    <x v="0"/>
    <x v="0"/>
    <x v="0"/>
    <x v="0"/>
    <s v="Stapler"/>
    <n v="45732"/>
    <n v="21"/>
    <n v="4070"/>
    <x v="0"/>
    <x v="0"/>
  </r>
  <r>
    <s v="2025-08-24"/>
    <x v="1"/>
    <x v="1"/>
    <x v="0"/>
    <x v="1"/>
    <s v="Ball Pen"/>
    <n v="42090"/>
    <n v="22"/>
    <n v="2698"/>
    <x v="1"/>
    <x v="0"/>
  </r>
  <r>
    <s v="2025-12-26"/>
    <x v="2"/>
    <x v="2"/>
    <x v="1"/>
    <x v="2"/>
    <s v="Nikon Camera"/>
    <n v="29693"/>
    <n v="89"/>
    <n v="3646"/>
    <x v="2"/>
    <x v="0"/>
  </r>
  <r>
    <s v="2025-03-12"/>
    <x v="3"/>
    <x v="3"/>
    <x v="0"/>
    <x v="3"/>
    <s v="Office Binder"/>
    <n v="57886"/>
    <n v="64"/>
    <n v="9649"/>
    <x v="3"/>
    <x v="0"/>
  </r>
  <r>
    <s v="2025-07-18"/>
    <x v="4"/>
    <x v="0"/>
    <x v="2"/>
    <x v="4"/>
    <s v="Leather Sofa"/>
    <n v="11627"/>
    <n v="89"/>
    <n v="3388"/>
    <x v="4"/>
    <x v="0"/>
  </r>
  <r>
    <s v="2025-04-15"/>
    <x v="5"/>
    <x v="4"/>
    <x v="1"/>
    <x v="5"/>
    <s v="Samsung Mobile"/>
    <n v="24483"/>
    <n v="71"/>
    <n v="4957"/>
    <x v="5"/>
    <x v="0"/>
  </r>
  <r>
    <s v="2025-04-18"/>
    <x v="6"/>
    <x v="5"/>
    <x v="0"/>
    <x v="1"/>
    <s v="Ball Pen"/>
    <n v="4943"/>
    <n v="4"/>
    <n v="632"/>
    <x v="5"/>
    <x v="0"/>
  </r>
  <r>
    <s v="2025-06-18"/>
    <x v="1"/>
    <x v="2"/>
    <x v="1"/>
    <x v="2"/>
    <s v="Nikon Camera"/>
    <n v="7873"/>
    <n v="44"/>
    <n v="2242"/>
    <x v="6"/>
    <x v="0"/>
  </r>
  <r>
    <s v="2025-08-14"/>
    <x v="3"/>
    <x v="5"/>
    <x v="1"/>
    <x v="6"/>
    <s v="Dell Monitor"/>
    <n v="26851"/>
    <n v="62"/>
    <n v="3526"/>
    <x v="1"/>
    <x v="0"/>
  </r>
  <r>
    <s v="2025-09-15"/>
    <x v="7"/>
    <x v="0"/>
    <x v="2"/>
    <x v="7"/>
    <s v="Wooden Table"/>
    <n v="50216"/>
    <n v="89"/>
    <n v="14900"/>
    <x v="7"/>
    <x v="0"/>
  </r>
  <r>
    <s v="2025-01-08"/>
    <x v="8"/>
    <x v="1"/>
    <x v="2"/>
    <x v="8"/>
    <s v="Wooden Bookcase"/>
    <n v="14986"/>
    <n v="35"/>
    <n v="3638"/>
    <x v="8"/>
    <x v="0"/>
  </r>
  <r>
    <s v="2025-12-07"/>
    <x v="4"/>
    <x v="2"/>
    <x v="2"/>
    <x v="7"/>
    <s v="Wooden Table"/>
    <n v="9392"/>
    <n v="72"/>
    <n v="1524"/>
    <x v="2"/>
    <x v="0"/>
  </r>
  <r>
    <s v="2025-03-12"/>
    <x v="9"/>
    <x v="5"/>
    <x v="2"/>
    <x v="9"/>
    <s v="Work Desk"/>
    <n v="11965"/>
    <n v="91"/>
    <n v="2277"/>
    <x v="3"/>
    <x v="0"/>
  </r>
  <r>
    <s v="2025-01-05"/>
    <x v="10"/>
    <x v="5"/>
    <x v="0"/>
    <x v="10"/>
    <s v="Mail Envelope"/>
    <n v="57537"/>
    <n v="14"/>
    <n v="9979"/>
    <x v="8"/>
    <x v="0"/>
  </r>
  <r>
    <s v="2025-12-13"/>
    <x v="11"/>
    <x v="2"/>
    <x v="2"/>
    <x v="9"/>
    <s v="Work Desk"/>
    <n v="58010"/>
    <n v="63"/>
    <n v="15891"/>
    <x v="2"/>
    <x v="0"/>
  </r>
  <r>
    <s v="2025-05-23"/>
    <x v="1"/>
    <x v="0"/>
    <x v="2"/>
    <x v="8"/>
    <s v="Wooden Bookcase"/>
    <n v="7374"/>
    <n v="15"/>
    <n v="1761"/>
    <x v="9"/>
    <x v="0"/>
  </r>
  <r>
    <s v="2025-06-02"/>
    <x v="8"/>
    <x v="1"/>
    <x v="2"/>
    <x v="9"/>
    <s v="Work Desk"/>
    <n v="44689"/>
    <n v="45"/>
    <n v="5537"/>
    <x v="6"/>
    <x v="0"/>
  </r>
  <r>
    <s v="2025-12-20"/>
    <x v="12"/>
    <x v="3"/>
    <x v="2"/>
    <x v="11"/>
    <s v="Office Cupboard"/>
    <n v="49925"/>
    <n v="62"/>
    <n v="9227"/>
    <x v="2"/>
    <x v="0"/>
  </r>
  <r>
    <s v="2025-01-01"/>
    <x v="13"/>
    <x v="3"/>
    <x v="1"/>
    <x v="12"/>
    <s v="Sony Headphones"/>
    <n v="2306"/>
    <n v="62"/>
    <n v="115"/>
    <x v="8"/>
    <x v="0"/>
  </r>
  <r>
    <s v="2025-06-08"/>
    <x v="13"/>
    <x v="1"/>
    <x v="2"/>
    <x v="13"/>
    <s v="Ergonomic Chair"/>
    <n v="6530"/>
    <n v="9"/>
    <n v="1117"/>
    <x v="6"/>
    <x v="0"/>
  </r>
  <r>
    <s v="2025-08-15"/>
    <x v="12"/>
    <x v="2"/>
    <x v="2"/>
    <x v="4"/>
    <s v="Leather Sofa"/>
    <n v="8994"/>
    <n v="32"/>
    <n v="1616"/>
    <x v="1"/>
    <x v="0"/>
  </r>
  <r>
    <s v="2025-10-20"/>
    <x v="6"/>
    <x v="4"/>
    <x v="2"/>
    <x v="8"/>
    <s v="Wooden Bookcase"/>
    <n v="18675"/>
    <n v="39"/>
    <n v="3255"/>
    <x v="10"/>
    <x v="0"/>
  </r>
  <r>
    <s v="2025-11-17"/>
    <x v="6"/>
    <x v="4"/>
    <x v="2"/>
    <x v="14"/>
    <s v="King Size Bed"/>
    <n v="29673"/>
    <n v="2"/>
    <n v="4532"/>
    <x v="0"/>
    <x v="0"/>
  </r>
  <r>
    <s v="2025-03-02"/>
    <x v="2"/>
    <x v="4"/>
    <x v="0"/>
    <x v="10"/>
    <s v="Mail Envelope"/>
    <n v="22556"/>
    <n v="44"/>
    <n v="3652"/>
    <x v="3"/>
    <x v="0"/>
  </r>
  <r>
    <s v="2025-08-27"/>
    <x v="14"/>
    <x v="3"/>
    <x v="1"/>
    <x v="12"/>
    <s v="Sony Headphones"/>
    <n v="13688"/>
    <n v="38"/>
    <n v="1942"/>
    <x v="1"/>
    <x v="0"/>
  </r>
  <r>
    <s v="2025-01-09"/>
    <x v="14"/>
    <x v="5"/>
    <x v="1"/>
    <x v="2"/>
    <s v="Nikon Camera"/>
    <n v="43107"/>
    <n v="59"/>
    <n v="4165"/>
    <x v="8"/>
    <x v="0"/>
  </r>
  <r>
    <s v="2025-03-26"/>
    <x v="1"/>
    <x v="3"/>
    <x v="2"/>
    <x v="4"/>
    <s v="Leather Sofa"/>
    <n v="35754"/>
    <n v="19"/>
    <n v="4904"/>
    <x v="3"/>
    <x v="0"/>
  </r>
  <r>
    <s v="2025-08-07"/>
    <x v="2"/>
    <x v="4"/>
    <x v="0"/>
    <x v="0"/>
    <s v="Stapler"/>
    <n v="36153"/>
    <n v="1"/>
    <n v="7914"/>
    <x v="1"/>
    <x v="0"/>
  </r>
  <r>
    <s v="2025-03-07"/>
    <x v="11"/>
    <x v="2"/>
    <x v="2"/>
    <x v="13"/>
    <s v="Ergonomic Chair"/>
    <n v="47843"/>
    <n v="16"/>
    <n v="12166"/>
    <x v="3"/>
    <x v="0"/>
  </r>
  <r>
    <s v="2025-02-01"/>
    <x v="6"/>
    <x v="3"/>
    <x v="2"/>
    <x v="8"/>
    <s v="Wooden Bookcase"/>
    <n v="39191"/>
    <n v="12"/>
    <n v="7429"/>
    <x v="11"/>
    <x v="0"/>
  </r>
  <r>
    <s v="2025-03-16"/>
    <x v="10"/>
    <x v="4"/>
    <x v="0"/>
    <x v="15"/>
    <s v="A4 Sheets"/>
    <n v="52407"/>
    <n v="3"/>
    <n v="13839"/>
    <x v="3"/>
    <x v="0"/>
  </r>
  <r>
    <s v="2025-01-08"/>
    <x v="14"/>
    <x v="3"/>
    <x v="1"/>
    <x v="16"/>
    <s v="HP Laptop"/>
    <n v="6539"/>
    <n v="38"/>
    <n v="1420"/>
    <x v="8"/>
    <x v="0"/>
  </r>
  <r>
    <s v="2025-09-18"/>
    <x v="10"/>
    <x v="5"/>
    <x v="1"/>
    <x v="17"/>
    <s v="Canon Printer"/>
    <n v="47975"/>
    <n v="82"/>
    <n v="8223"/>
    <x v="7"/>
    <x v="0"/>
  </r>
  <r>
    <s v="2025-01-04"/>
    <x v="1"/>
    <x v="4"/>
    <x v="0"/>
    <x v="10"/>
    <s v="Mail Envelope"/>
    <n v="24328"/>
    <n v="14"/>
    <n v="3195"/>
    <x v="8"/>
    <x v="0"/>
  </r>
  <r>
    <s v="2025-12-27"/>
    <x v="2"/>
    <x v="4"/>
    <x v="0"/>
    <x v="1"/>
    <s v="Ball Pen"/>
    <n v="41818"/>
    <n v="86"/>
    <n v="4863"/>
    <x v="2"/>
    <x v="0"/>
  </r>
  <r>
    <s v="2025-03-22"/>
    <x v="15"/>
    <x v="5"/>
    <x v="1"/>
    <x v="2"/>
    <s v="Nikon Camera"/>
    <n v="6895"/>
    <n v="27"/>
    <n v="1093"/>
    <x v="3"/>
    <x v="0"/>
  </r>
  <r>
    <s v="2025-01-05"/>
    <x v="0"/>
    <x v="4"/>
    <x v="2"/>
    <x v="11"/>
    <s v="Office Cupboard"/>
    <n v="28643"/>
    <n v="61"/>
    <n v="5006"/>
    <x v="8"/>
    <x v="0"/>
  </r>
  <r>
    <s v="2025-12-14"/>
    <x v="12"/>
    <x v="4"/>
    <x v="0"/>
    <x v="15"/>
    <s v="A4 Sheets"/>
    <n v="37212"/>
    <n v="6"/>
    <n v="5304"/>
    <x v="2"/>
    <x v="0"/>
  </r>
  <r>
    <s v="2025-05-03"/>
    <x v="6"/>
    <x v="0"/>
    <x v="2"/>
    <x v="14"/>
    <s v="King Size Bed"/>
    <n v="1699"/>
    <n v="97"/>
    <n v="116"/>
    <x v="9"/>
    <x v="0"/>
  </r>
  <r>
    <s v="2025-02-25"/>
    <x v="10"/>
    <x v="4"/>
    <x v="2"/>
    <x v="14"/>
    <s v="King Size Bed"/>
    <n v="33745"/>
    <n v="95"/>
    <n v="8809"/>
    <x v="11"/>
    <x v="0"/>
  </r>
  <r>
    <s v="2025-06-23"/>
    <x v="0"/>
    <x v="2"/>
    <x v="0"/>
    <x v="18"/>
    <s v="File Folder"/>
    <n v="36777"/>
    <n v="27"/>
    <n v="4553"/>
    <x v="6"/>
    <x v="0"/>
  </r>
  <r>
    <s v="2025-11-22"/>
    <x v="4"/>
    <x v="4"/>
    <x v="1"/>
    <x v="16"/>
    <s v="HP Laptop"/>
    <n v="41111"/>
    <n v="39"/>
    <n v="5073"/>
    <x v="0"/>
    <x v="0"/>
  </r>
  <r>
    <s v="2025-09-24"/>
    <x v="16"/>
    <x v="1"/>
    <x v="0"/>
    <x v="3"/>
    <s v="Office Binder"/>
    <n v="9716"/>
    <n v="60"/>
    <n v="1727"/>
    <x v="7"/>
    <x v="0"/>
  </r>
  <r>
    <s v="2025-01-08"/>
    <x v="17"/>
    <x v="0"/>
    <x v="2"/>
    <x v="8"/>
    <s v="Wooden Bookcase"/>
    <n v="7655"/>
    <n v="16"/>
    <n v="479"/>
    <x v="8"/>
    <x v="0"/>
  </r>
  <r>
    <s v="2025-07-22"/>
    <x v="5"/>
    <x v="2"/>
    <x v="0"/>
    <x v="0"/>
    <s v="Stapler"/>
    <n v="54298"/>
    <n v="25"/>
    <n v="4819"/>
    <x v="4"/>
    <x v="0"/>
  </r>
  <r>
    <s v="2025-04-10"/>
    <x v="6"/>
    <x v="5"/>
    <x v="1"/>
    <x v="19"/>
    <s v="iPad"/>
    <n v="54006"/>
    <n v="54"/>
    <n v="9951"/>
    <x v="5"/>
    <x v="0"/>
  </r>
  <r>
    <s v="2025-12-05"/>
    <x v="12"/>
    <x v="0"/>
    <x v="2"/>
    <x v="13"/>
    <s v="Ergonomic Chair"/>
    <n v="22606"/>
    <n v="68"/>
    <n v="5888"/>
    <x v="2"/>
    <x v="0"/>
  </r>
  <r>
    <s v="2025-04-16"/>
    <x v="18"/>
    <x v="1"/>
    <x v="1"/>
    <x v="12"/>
    <s v="Sony Headphones"/>
    <n v="29940"/>
    <n v="30"/>
    <n v="1804"/>
    <x v="5"/>
    <x v="0"/>
  </r>
  <r>
    <s v="2025-10-21"/>
    <x v="9"/>
    <x v="3"/>
    <x v="0"/>
    <x v="1"/>
    <s v="Ball Pen"/>
    <n v="6949"/>
    <n v="23"/>
    <n v="1091"/>
    <x v="10"/>
    <x v="0"/>
  </r>
  <r>
    <s v="2025-02-22"/>
    <x v="2"/>
    <x v="2"/>
    <x v="2"/>
    <x v="13"/>
    <s v="Ergonomic Chair"/>
    <n v="50711"/>
    <n v="89"/>
    <n v="10905"/>
    <x v="11"/>
    <x v="0"/>
  </r>
  <r>
    <s v="2025-05-22"/>
    <x v="13"/>
    <x v="0"/>
    <x v="2"/>
    <x v="13"/>
    <s v="Ergonomic Chair"/>
    <n v="57156"/>
    <n v="67"/>
    <n v="6397"/>
    <x v="9"/>
    <x v="0"/>
  </r>
  <r>
    <s v="2025-12-05"/>
    <x v="19"/>
    <x v="5"/>
    <x v="0"/>
    <x v="10"/>
    <s v="Mail Envelope"/>
    <n v="45078"/>
    <n v="94"/>
    <n v="11894"/>
    <x v="2"/>
    <x v="0"/>
  </r>
  <r>
    <s v="2025-05-07"/>
    <x v="3"/>
    <x v="2"/>
    <x v="2"/>
    <x v="8"/>
    <s v="Wooden Bookcase"/>
    <n v="27211"/>
    <n v="33"/>
    <n v="4521"/>
    <x v="9"/>
    <x v="0"/>
  </r>
  <r>
    <s v="2025-06-05"/>
    <x v="11"/>
    <x v="2"/>
    <x v="2"/>
    <x v="9"/>
    <s v="Work Desk"/>
    <n v="32843"/>
    <n v="34"/>
    <n v="3784"/>
    <x v="6"/>
    <x v="0"/>
  </r>
  <r>
    <s v="2025-08-05"/>
    <x v="2"/>
    <x v="1"/>
    <x v="1"/>
    <x v="5"/>
    <s v="Samsung Mobile"/>
    <n v="17364"/>
    <n v="4"/>
    <n v="3541"/>
    <x v="1"/>
    <x v="0"/>
  </r>
  <r>
    <s v="2025-08-12"/>
    <x v="17"/>
    <x v="4"/>
    <x v="0"/>
    <x v="3"/>
    <s v="Office Binder"/>
    <n v="7833"/>
    <n v="35"/>
    <n v="1651"/>
    <x v="1"/>
    <x v="0"/>
  </r>
  <r>
    <s v="2025-05-12"/>
    <x v="14"/>
    <x v="1"/>
    <x v="2"/>
    <x v="14"/>
    <s v="King Size Bed"/>
    <n v="41770"/>
    <n v="65"/>
    <n v="12125"/>
    <x v="9"/>
    <x v="0"/>
  </r>
  <r>
    <s v="2025-12-14"/>
    <x v="7"/>
    <x v="3"/>
    <x v="1"/>
    <x v="17"/>
    <s v="Canon Printer"/>
    <n v="13161"/>
    <n v="35"/>
    <n v="1765"/>
    <x v="2"/>
    <x v="0"/>
  </r>
  <r>
    <s v="2025-10-02"/>
    <x v="11"/>
    <x v="2"/>
    <x v="1"/>
    <x v="19"/>
    <s v="iPad"/>
    <n v="58458"/>
    <n v="7"/>
    <n v="4649"/>
    <x v="10"/>
    <x v="0"/>
  </r>
  <r>
    <s v="2025-08-04"/>
    <x v="14"/>
    <x v="0"/>
    <x v="2"/>
    <x v="7"/>
    <s v="Wooden Table"/>
    <n v="34496"/>
    <n v="21"/>
    <n v="10069"/>
    <x v="1"/>
    <x v="0"/>
  </r>
  <r>
    <s v="2025-01-03"/>
    <x v="10"/>
    <x v="4"/>
    <x v="1"/>
    <x v="19"/>
    <s v="iPad"/>
    <n v="21463"/>
    <n v="36"/>
    <n v="3069"/>
    <x v="8"/>
    <x v="0"/>
  </r>
  <r>
    <s v="2025-01-23"/>
    <x v="12"/>
    <x v="0"/>
    <x v="0"/>
    <x v="18"/>
    <s v="File Folder"/>
    <n v="6644"/>
    <n v="23"/>
    <n v="1585"/>
    <x v="8"/>
    <x v="0"/>
  </r>
  <r>
    <s v="2025-04-16"/>
    <x v="6"/>
    <x v="4"/>
    <x v="2"/>
    <x v="11"/>
    <s v="Office Cupboard"/>
    <n v="1728"/>
    <n v="86"/>
    <n v="214"/>
    <x v="5"/>
    <x v="0"/>
  </r>
  <r>
    <s v="2025-09-19"/>
    <x v="12"/>
    <x v="3"/>
    <x v="0"/>
    <x v="15"/>
    <s v="A4 Sheets"/>
    <n v="37939"/>
    <n v="9"/>
    <n v="4925"/>
    <x v="7"/>
    <x v="0"/>
  </r>
  <r>
    <s v="2025-10-15"/>
    <x v="8"/>
    <x v="3"/>
    <x v="1"/>
    <x v="12"/>
    <s v="Sony Headphones"/>
    <n v="9335"/>
    <n v="69"/>
    <n v="1151"/>
    <x v="10"/>
    <x v="0"/>
  </r>
  <r>
    <s v="2025-05-23"/>
    <x v="1"/>
    <x v="1"/>
    <x v="2"/>
    <x v="8"/>
    <s v="Wooden Bookcase"/>
    <n v="2167"/>
    <n v="57"/>
    <n v="169"/>
    <x v="9"/>
    <x v="0"/>
  </r>
  <r>
    <s v="2025-10-05"/>
    <x v="13"/>
    <x v="2"/>
    <x v="2"/>
    <x v="7"/>
    <s v="Wooden Table"/>
    <n v="24714"/>
    <n v="87"/>
    <n v="4608"/>
    <x v="10"/>
    <x v="0"/>
  </r>
  <r>
    <s v="2025-10-26"/>
    <x v="4"/>
    <x v="3"/>
    <x v="0"/>
    <x v="3"/>
    <s v="Office Binder"/>
    <n v="36307"/>
    <n v="17"/>
    <n v="2733"/>
    <x v="10"/>
    <x v="0"/>
  </r>
  <r>
    <s v="2025-10-09"/>
    <x v="18"/>
    <x v="0"/>
    <x v="0"/>
    <x v="18"/>
    <s v="File Folder"/>
    <n v="28569"/>
    <n v="27"/>
    <n v="6472"/>
    <x v="10"/>
    <x v="0"/>
  </r>
  <r>
    <s v="2025-03-08"/>
    <x v="15"/>
    <x v="0"/>
    <x v="2"/>
    <x v="14"/>
    <s v="King Size Bed"/>
    <n v="14807"/>
    <n v="65"/>
    <n v="3999"/>
    <x v="3"/>
    <x v="0"/>
  </r>
  <r>
    <s v="2025-04-04"/>
    <x v="7"/>
    <x v="4"/>
    <x v="2"/>
    <x v="9"/>
    <s v="Work Desk"/>
    <n v="36909"/>
    <n v="31"/>
    <n v="6289"/>
    <x v="5"/>
    <x v="0"/>
  </r>
  <r>
    <s v="2025-10-19"/>
    <x v="11"/>
    <x v="1"/>
    <x v="1"/>
    <x v="12"/>
    <s v="Sony Headphones"/>
    <n v="29710"/>
    <n v="67"/>
    <n v="3369"/>
    <x v="10"/>
    <x v="0"/>
  </r>
  <r>
    <s v="2025-12-08"/>
    <x v="17"/>
    <x v="5"/>
    <x v="1"/>
    <x v="6"/>
    <s v="Dell Monitor"/>
    <n v="14116"/>
    <n v="39"/>
    <n v="3338"/>
    <x v="2"/>
    <x v="0"/>
  </r>
  <r>
    <s v="2025-09-24"/>
    <x v="6"/>
    <x v="5"/>
    <x v="2"/>
    <x v="8"/>
    <s v="Wooden Bookcase"/>
    <n v="18312"/>
    <n v="38"/>
    <n v="2913"/>
    <x v="7"/>
    <x v="0"/>
  </r>
  <r>
    <s v="2025-05-16"/>
    <x v="7"/>
    <x v="0"/>
    <x v="1"/>
    <x v="6"/>
    <s v="Dell Monitor"/>
    <n v="28509"/>
    <n v="85"/>
    <n v="8502"/>
    <x v="9"/>
    <x v="0"/>
  </r>
  <r>
    <s v="2025-04-25"/>
    <x v="8"/>
    <x v="1"/>
    <x v="2"/>
    <x v="8"/>
    <s v="Wooden Bookcase"/>
    <n v="49529"/>
    <n v="47"/>
    <n v="10269"/>
    <x v="5"/>
    <x v="0"/>
  </r>
  <r>
    <s v="2025-07-25"/>
    <x v="10"/>
    <x v="4"/>
    <x v="1"/>
    <x v="12"/>
    <s v="Sony Headphones"/>
    <n v="8114"/>
    <n v="12"/>
    <n v="2350"/>
    <x v="4"/>
    <x v="0"/>
  </r>
  <r>
    <s v="2025-10-04"/>
    <x v="18"/>
    <x v="3"/>
    <x v="1"/>
    <x v="6"/>
    <s v="Dell Monitor"/>
    <n v="37487"/>
    <n v="58"/>
    <n v="4024"/>
    <x v="10"/>
    <x v="0"/>
  </r>
  <r>
    <s v="2025-09-01"/>
    <x v="6"/>
    <x v="3"/>
    <x v="2"/>
    <x v="13"/>
    <s v="Ergonomic Chair"/>
    <n v="56284"/>
    <n v="84"/>
    <n v="11295"/>
    <x v="7"/>
    <x v="0"/>
  </r>
  <r>
    <s v="2025-06-18"/>
    <x v="10"/>
    <x v="5"/>
    <x v="2"/>
    <x v="14"/>
    <s v="King Size Bed"/>
    <n v="57178"/>
    <n v="69"/>
    <n v="11627"/>
    <x v="6"/>
    <x v="0"/>
  </r>
  <r>
    <s v="2025-11-13"/>
    <x v="16"/>
    <x v="5"/>
    <x v="1"/>
    <x v="5"/>
    <s v="Samsung Mobile"/>
    <n v="38892"/>
    <n v="33"/>
    <n v="9505"/>
    <x v="0"/>
    <x v="0"/>
  </r>
  <r>
    <s v="2025-05-26"/>
    <x v="14"/>
    <x v="4"/>
    <x v="1"/>
    <x v="12"/>
    <s v="Sony Headphones"/>
    <n v="5158"/>
    <n v="89"/>
    <n v="1508"/>
    <x v="9"/>
    <x v="0"/>
  </r>
  <r>
    <s v="2025-02-09"/>
    <x v="2"/>
    <x v="0"/>
    <x v="0"/>
    <x v="15"/>
    <s v="A4 Sheets"/>
    <n v="41034"/>
    <n v="1"/>
    <n v="2191"/>
    <x v="11"/>
    <x v="0"/>
  </r>
  <r>
    <s v="2025-05-05"/>
    <x v="6"/>
    <x v="3"/>
    <x v="0"/>
    <x v="18"/>
    <s v="File Folder"/>
    <n v="39757"/>
    <n v="3"/>
    <n v="7508"/>
    <x v="9"/>
    <x v="0"/>
  </r>
  <r>
    <s v="2025-10-19"/>
    <x v="11"/>
    <x v="0"/>
    <x v="2"/>
    <x v="14"/>
    <s v="King Size Bed"/>
    <n v="14456"/>
    <n v="85"/>
    <n v="2351"/>
    <x v="10"/>
    <x v="0"/>
  </r>
  <r>
    <s v="2025-04-01"/>
    <x v="7"/>
    <x v="1"/>
    <x v="1"/>
    <x v="16"/>
    <s v="HP Laptop"/>
    <n v="38744"/>
    <n v="32"/>
    <n v="2391"/>
    <x v="5"/>
    <x v="0"/>
  </r>
  <r>
    <s v="2025-06-22"/>
    <x v="5"/>
    <x v="2"/>
    <x v="0"/>
    <x v="3"/>
    <s v="Office Binder"/>
    <n v="50922"/>
    <n v="50"/>
    <n v="13394"/>
    <x v="6"/>
    <x v="0"/>
  </r>
  <r>
    <s v="2025-07-15"/>
    <x v="6"/>
    <x v="0"/>
    <x v="1"/>
    <x v="6"/>
    <s v="Dell Monitor"/>
    <n v="2252"/>
    <n v="85"/>
    <n v="472"/>
    <x v="4"/>
    <x v="0"/>
  </r>
  <r>
    <s v="2025-06-18"/>
    <x v="5"/>
    <x v="5"/>
    <x v="0"/>
    <x v="1"/>
    <s v="Ball Pen"/>
    <n v="56393"/>
    <n v="82"/>
    <n v="8349"/>
    <x v="6"/>
    <x v="0"/>
  </r>
  <r>
    <s v="2025-09-06"/>
    <x v="17"/>
    <x v="2"/>
    <x v="0"/>
    <x v="1"/>
    <s v="Ball Pen"/>
    <n v="57800"/>
    <n v="88"/>
    <n v="16046"/>
    <x v="7"/>
    <x v="0"/>
  </r>
  <r>
    <s v="2025-01-05"/>
    <x v="8"/>
    <x v="2"/>
    <x v="1"/>
    <x v="12"/>
    <s v="Sony Headphones"/>
    <n v="38660"/>
    <n v="4"/>
    <n v="6372"/>
    <x v="8"/>
    <x v="0"/>
  </r>
  <r>
    <s v="2025-08-05"/>
    <x v="17"/>
    <x v="4"/>
    <x v="2"/>
    <x v="7"/>
    <s v="Wooden Table"/>
    <n v="28169"/>
    <n v="6"/>
    <n v="4877"/>
    <x v="1"/>
    <x v="0"/>
  </r>
  <r>
    <s v="2025-11-19"/>
    <x v="14"/>
    <x v="1"/>
    <x v="2"/>
    <x v="11"/>
    <s v="Office Cupboard"/>
    <n v="7254"/>
    <n v="23"/>
    <n v="594"/>
    <x v="0"/>
    <x v="0"/>
  </r>
  <r>
    <s v="2025-08-04"/>
    <x v="3"/>
    <x v="5"/>
    <x v="0"/>
    <x v="1"/>
    <s v="Ball Pen"/>
    <n v="46415"/>
    <n v="4"/>
    <n v="6331"/>
    <x v="1"/>
    <x v="0"/>
  </r>
  <r>
    <s v="2025-10-19"/>
    <x v="16"/>
    <x v="1"/>
    <x v="0"/>
    <x v="1"/>
    <s v="Ball Pen"/>
    <n v="24954"/>
    <n v="21"/>
    <n v="2301"/>
    <x v="10"/>
    <x v="0"/>
  </r>
  <r>
    <s v="2025-01-05"/>
    <x v="15"/>
    <x v="5"/>
    <x v="1"/>
    <x v="19"/>
    <s v="iPad"/>
    <n v="40144"/>
    <n v="12"/>
    <n v="4077"/>
    <x v="8"/>
    <x v="0"/>
  </r>
  <r>
    <s v="2025-11-09"/>
    <x v="7"/>
    <x v="5"/>
    <x v="1"/>
    <x v="16"/>
    <s v="HP Laptop"/>
    <n v="24321"/>
    <n v="47"/>
    <n v="5033"/>
    <x v="0"/>
    <x v="0"/>
  </r>
  <r>
    <s v="2025-01-26"/>
    <x v="3"/>
    <x v="1"/>
    <x v="0"/>
    <x v="18"/>
    <s v="File Folder"/>
    <n v="14568"/>
    <n v="8"/>
    <n v="3453"/>
    <x v="8"/>
    <x v="0"/>
  </r>
  <r>
    <s v="2025-10-23"/>
    <x v="19"/>
    <x v="5"/>
    <x v="2"/>
    <x v="8"/>
    <s v="Wooden Bookcase"/>
    <n v="3125"/>
    <n v="88"/>
    <n v="719"/>
    <x v="10"/>
    <x v="0"/>
  </r>
  <r>
    <s v="2025-07-03"/>
    <x v="8"/>
    <x v="1"/>
    <x v="1"/>
    <x v="2"/>
    <s v="Nikon Camera"/>
    <n v="19030"/>
    <n v="23"/>
    <n v="3385"/>
    <x v="4"/>
    <x v="0"/>
  </r>
  <r>
    <s v="2025-10-06"/>
    <x v="16"/>
    <x v="0"/>
    <x v="0"/>
    <x v="0"/>
    <s v="Stapler"/>
    <n v="40650"/>
    <n v="15"/>
    <n v="3098"/>
    <x v="10"/>
    <x v="0"/>
  </r>
  <r>
    <s v="2025-07-25"/>
    <x v="11"/>
    <x v="3"/>
    <x v="0"/>
    <x v="10"/>
    <s v="Mail Envelope"/>
    <n v="51448"/>
    <n v="86"/>
    <n v="6784"/>
    <x v="4"/>
    <x v="0"/>
  </r>
  <r>
    <s v="2025-09-04"/>
    <x v="17"/>
    <x v="0"/>
    <x v="2"/>
    <x v="13"/>
    <s v="Ergonomic Chair"/>
    <n v="8561"/>
    <n v="67"/>
    <n v="1816"/>
    <x v="7"/>
    <x v="0"/>
  </r>
  <r>
    <s v="2025-06-02"/>
    <x v="0"/>
    <x v="3"/>
    <x v="1"/>
    <x v="12"/>
    <s v="Sony Headphones"/>
    <n v="13910"/>
    <n v="8"/>
    <n v="2735"/>
    <x v="6"/>
    <x v="0"/>
  </r>
  <r>
    <s v="2025-06-20"/>
    <x v="9"/>
    <x v="4"/>
    <x v="0"/>
    <x v="3"/>
    <s v="Office Binder"/>
    <n v="55553"/>
    <n v="64"/>
    <n v="10704"/>
    <x v="6"/>
    <x v="0"/>
  </r>
  <r>
    <s v="2025-09-01"/>
    <x v="9"/>
    <x v="5"/>
    <x v="0"/>
    <x v="10"/>
    <s v="Mail Envelope"/>
    <n v="51612"/>
    <n v="22"/>
    <n v="5488"/>
    <x v="7"/>
    <x v="0"/>
  </r>
  <r>
    <s v="2025-08-23"/>
    <x v="14"/>
    <x v="3"/>
    <x v="1"/>
    <x v="12"/>
    <s v="Sony Headphones"/>
    <n v="59504"/>
    <n v="3"/>
    <n v="10777"/>
    <x v="1"/>
    <x v="0"/>
  </r>
  <r>
    <s v="2025-04-11"/>
    <x v="5"/>
    <x v="5"/>
    <x v="2"/>
    <x v="8"/>
    <s v="Wooden Bookcase"/>
    <n v="58347"/>
    <n v="79"/>
    <n v="14835"/>
    <x v="5"/>
    <x v="0"/>
  </r>
  <r>
    <s v="2025-09-02"/>
    <x v="8"/>
    <x v="5"/>
    <x v="2"/>
    <x v="11"/>
    <s v="Office Cupboard"/>
    <n v="1846"/>
    <n v="75"/>
    <n v="356"/>
    <x v="7"/>
    <x v="0"/>
  </r>
  <r>
    <s v="2025-06-26"/>
    <x v="9"/>
    <x v="3"/>
    <x v="0"/>
    <x v="10"/>
    <s v="Mail Envelope"/>
    <n v="43101"/>
    <n v="68"/>
    <n v="6739"/>
    <x v="6"/>
    <x v="0"/>
  </r>
  <r>
    <s v="2025-01-26"/>
    <x v="12"/>
    <x v="4"/>
    <x v="2"/>
    <x v="8"/>
    <s v="Wooden Bookcase"/>
    <n v="13941"/>
    <n v="64"/>
    <n v="1001"/>
    <x v="8"/>
    <x v="0"/>
  </r>
  <r>
    <s v="2025-11-03"/>
    <x v="7"/>
    <x v="3"/>
    <x v="1"/>
    <x v="17"/>
    <s v="Canon Printer"/>
    <n v="21128"/>
    <n v="6"/>
    <n v="2834"/>
    <x v="0"/>
    <x v="0"/>
  </r>
  <r>
    <s v="2025-02-13"/>
    <x v="12"/>
    <x v="2"/>
    <x v="1"/>
    <x v="19"/>
    <s v="iPad"/>
    <n v="6287"/>
    <n v="2"/>
    <n v="452"/>
    <x v="11"/>
    <x v="0"/>
  </r>
  <r>
    <s v="2025-09-11"/>
    <x v="6"/>
    <x v="4"/>
    <x v="0"/>
    <x v="10"/>
    <s v="Mail Envelope"/>
    <n v="28534"/>
    <n v="24"/>
    <n v="5750"/>
    <x v="7"/>
    <x v="0"/>
  </r>
  <r>
    <s v="2025-12-12"/>
    <x v="9"/>
    <x v="4"/>
    <x v="0"/>
    <x v="18"/>
    <s v="File Folder"/>
    <n v="43929"/>
    <n v="78"/>
    <n v="12442"/>
    <x v="2"/>
    <x v="0"/>
  </r>
  <r>
    <s v="2025-03-03"/>
    <x v="12"/>
    <x v="2"/>
    <x v="0"/>
    <x v="15"/>
    <s v="A4 Sheets"/>
    <n v="52712"/>
    <n v="40"/>
    <n v="12144"/>
    <x v="3"/>
    <x v="0"/>
  </r>
  <r>
    <s v="2025-12-03"/>
    <x v="9"/>
    <x v="4"/>
    <x v="2"/>
    <x v="4"/>
    <s v="Leather Sofa"/>
    <n v="22204"/>
    <n v="37"/>
    <n v="5631"/>
    <x v="2"/>
    <x v="0"/>
  </r>
  <r>
    <s v="2025-09-13"/>
    <x v="1"/>
    <x v="2"/>
    <x v="0"/>
    <x v="18"/>
    <s v="File Folder"/>
    <n v="18449"/>
    <n v="89"/>
    <n v="4072"/>
    <x v="7"/>
    <x v="0"/>
  </r>
  <r>
    <s v="2025-01-23"/>
    <x v="15"/>
    <x v="1"/>
    <x v="0"/>
    <x v="18"/>
    <s v="File Folder"/>
    <n v="38438"/>
    <n v="15"/>
    <n v="7471"/>
    <x v="8"/>
    <x v="0"/>
  </r>
  <r>
    <s v="2025-05-08"/>
    <x v="19"/>
    <x v="2"/>
    <x v="2"/>
    <x v="13"/>
    <s v="Ergonomic Chair"/>
    <n v="27727"/>
    <n v="51"/>
    <n v="5149"/>
    <x v="9"/>
    <x v="0"/>
  </r>
  <r>
    <s v="2025-03-08"/>
    <x v="13"/>
    <x v="1"/>
    <x v="1"/>
    <x v="2"/>
    <s v="Nikon Camera"/>
    <n v="32273"/>
    <n v="64"/>
    <n v="2958"/>
    <x v="3"/>
    <x v="0"/>
  </r>
  <r>
    <s v="2025-07-27"/>
    <x v="17"/>
    <x v="4"/>
    <x v="0"/>
    <x v="10"/>
    <s v="Mail Envelope"/>
    <n v="34187"/>
    <n v="29"/>
    <n v="3005"/>
    <x v="4"/>
    <x v="0"/>
  </r>
  <r>
    <s v="2025-04-22"/>
    <x v="2"/>
    <x v="0"/>
    <x v="2"/>
    <x v="14"/>
    <s v="King Size Bed"/>
    <n v="33265"/>
    <n v="5"/>
    <n v="8954"/>
    <x v="5"/>
    <x v="0"/>
  </r>
  <r>
    <s v="2025-04-13"/>
    <x v="7"/>
    <x v="5"/>
    <x v="2"/>
    <x v="11"/>
    <s v="Office Cupboard"/>
    <n v="7359"/>
    <n v="52"/>
    <n v="1098"/>
    <x v="5"/>
    <x v="0"/>
  </r>
  <r>
    <s v="2025-04-12"/>
    <x v="0"/>
    <x v="0"/>
    <x v="2"/>
    <x v="14"/>
    <s v="King Size Bed"/>
    <n v="4756"/>
    <n v="2"/>
    <n v="252"/>
    <x v="5"/>
    <x v="0"/>
  </r>
  <r>
    <s v="2025-10-11"/>
    <x v="1"/>
    <x v="3"/>
    <x v="0"/>
    <x v="1"/>
    <s v="Ball Pen"/>
    <n v="35884"/>
    <n v="20"/>
    <n v="3423"/>
    <x v="10"/>
    <x v="0"/>
  </r>
  <r>
    <s v="2025-07-15"/>
    <x v="18"/>
    <x v="5"/>
    <x v="1"/>
    <x v="2"/>
    <s v="Nikon Camera"/>
    <n v="50497"/>
    <n v="46"/>
    <n v="10288"/>
    <x v="4"/>
    <x v="0"/>
  </r>
  <r>
    <s v="2025-09-01"/>
    <x v="16"/>
    <x v="5"/>
    <x v="1"/>
    <x v="19"/>
    <s v="iPad"/>
    <n v="57942"/>
    <n v="60"/>
    <n v="11486"/>
    <x v="7"/>
    <x v="0"/>
  </r>
  <r>
    <s v="2025-12-26"/>
    <x v="6"/>
    <x v="2"/>
    <x v="2"/>
    <x v="14"/>
    <s v="King Size Bed"/>
    <n v="56176"/>
    <n v="51"/>
    <n v="13151"/>
    <x v="2"/>
    <x v="0"/>
  </r>
  <r>
    <s v="2025-05-21"/>
    <x v="2"/>
    <x v="1"/>
    <x v="2"/>
    <x v="11"/>
    <s v="Office Cupboard"/>
    <n v="37185"/>
    <n v="36"/>
    <n v="3018"/>
    <x v="9"/>
    <x v="0"/>
  </r>
  <r>
    <s v="2025-08-15"/>
    <x v="8"/>
    <x v="5"/>
    <x v="2"/>
    <x v="13"/>
    <s v="Ergonomic Chair"/>
    <n v="3708"/>
    <n v="47"/>
    <n v="236"/>
    <x v="1"/>
    <x v="0"/>
  </r>
  <r>
    <s v="2025-03-20"/>
    <x v="4"/>
    <x v="3"/>
    <x v="2"/>
    <x v="7"/>
    <s v="Wooden Table"/>
    <n v="50688"/>
    <n v="90"/>
    <n v="14190"/>
    <x v="3"/>
    <x v="0"/>
  </r>
  <r>
    <s v="2025-11-17"/>
    <x v="5"/>
    <x v="2"/>
    <x v="1"/>
    <x v="12"/>
    <s v="Sony Headphones"/>
    <n v="7783"/>
    <n v="43"/>
    <n v="453"/>
    <x v="0"/>
    <x v="0"/>
  </r>
  <r>
    <s v="2025-04-06"/>
    <x v="13"/>
    <x v="5"/>
    <x v="0"/>
    <x v="1"/>
    <s v="Ball Pen"/>
    <n v="20956"/>
    <n v="88"/>
    <n v="2679"/>
    <x v="5"/>
    <x v="0"/>
  </r>
  <r>
    <s v="2025-05-17"/>
    <x v="16"/>
    <x v="1"/>
    <x v="2"/>
    <x v="9"/>
    <s v="Work Desk"/>
    <n v="51118"/>
    <n v="81"/>
    <n v="14837"/>
    <x v="9"/>
    <x v="0"/>
  </r>
  <r>
    <s v="2025-01-07"/>
    <x v="18"/>
    <x v="5"/>
    <x v="2"/>
    <x v="8"/>
    <s v="Wooden Bookcase"/>
    <n v="10984"/>
    <n v="96"/>
    <n v="733"/>
    <x v="8"/>
    <x v="0"/>
  </r>
  <r>
    <s v="2025-01-13"/>
    <x v="8"/>
    <x v="1"/>
    <x v="0"/>
    <x v="1"/>
    <s v="Ball Pen"/>
    <n v="43460"/>
    <n v="30"/>
    <n v="11262"/>
    <x v="8"/>
    <x v="0"/>
  </r>
  <r>
    <s v="2025-03-15"/>
    <x v="19"/>
    <x v="4"/>
    <x v="0"/>
    <x v="3"/>
    <s v="Office Binder"/>
    <n v="29865"/>
    <n v="92"/>
    <n v="5085"/>
    <x v="3"/>
    <x v="0"/>
  </r>
  <r>
    <s v="2025-01-08"/>
    <x v="1"/>
    <x v="1"/>
    <x v="1"/>
    <x v="2"/>
    <s v="Nikon Camera"/>
    <n v="13342"/>
    <n v="3"/>
    <n v="1912"/>
    <x v="8"/>
    <x v="0"/>
  </r>
  <r>
    <s v="2025-12-01"/>
    <x v="5"/>
    <x v="5"/>
    <x v="1"/>
    <x v="17"/>
    <s v="Canon Printer"/>
    <n v="48190"/>
    <n v="55"/>
    <n v="4290"/>
    <x v="2"/>
    <x v="0"/>
  </r>
  <r>
    <s v="2025-01-25"/>
    <x v="18"/>
    <x v="0"/>
    <x v="1"/>
    <x v="12"/>
    <s v="Sony Headphones"/>
    <n v="11998"/>
    <n v="67"/>
    <n v="1293"/>
    <x v="8"/>
    <x v="0"/>
  </r>
  <r>
    <s v="2025-05-03"/>
    <x v="0"/>
    <x v="5"/>
    <x v="0"/>
    <x v="10"/>
    <s v="Mail Envelope"/>
    <n v="40986"/>
    <n v="97"/>
    <n v="7753"/>
    <x v="9"/>
    <x v="0"/>
  </r>
  <r>
    <s v="2025-11-16"/>
    <x v="19"/>
    <x v="5"/>
    <x v="1"/>
    <x v="17"/>
    <s v="Canon Printer"/>
    <n v="54699"/>
    <n v="37"/>
    <n v="4664"/>
    <x v="0"/>
    <x v="0"/>
  </r>
  <r>
    <s v="2025-10-07"/>
    <x v="13"/>
    <x v="2"/>
    <x v="1"/>
    <x v="12"/>
    <s v="Sony Headphones"/>
    <n v="17032"/>
    <n v="23"/>
    <n v="4462"/>
    <x v="10"/>
    <x v="0"/>
  </r>
  <r>
    <s v="2025-02-01"/>
    <x v="16"/>
    <x v="3"/>
    <x v="2"/>
    <x v="4"/>
    <s v="Leather Sofa"/>
    <n v="24236"/>
    <n v="20"/>
    <n v="3246"/>
    <x v="11"/>
    <x v="0"/>
  </r>
  <r>
    <s v="2025-04-05"/>
    <x v="12"/>
    <x v="1"/>
    <x v="0"/>
    <x v="3"/>
    <s v="Office Binder"/>
    <n v="34572"/>
    <n v="38"/>
    <n v="8416"/>
    <x v="5"/>
    <x v="0"/>
  </r>
  <r>
    <s v="2025-03-20"/>
    <x v="12"/>
    <x v="0"/>
    <x v="2"/>
    <x v="7"/>
    <s v="Wooden Table"/>
    <n v="44861"/>
    <n v="24"/>
    <n v="3524"/>
    <x v="3"/>
    <x v="0"/>
  </r>
  <r>
    <s v="2025-02-19"/>
    <x v="6"/>
    <x v="5"/>
    <x v="1"/>
    <x v="17"/>
    <s v="Canon Printer"/>
    <n v="28856"/>
    <n v="14"/>
    <n v="6793"/>
    <x v="11"/>
    <x v="0"/>
  </r>
  <r>
    <s v="2025-09-22"/>
    <x v="13"/>
    <x v="4"/>
    <x v="1"/>
    <x v="19"/>
    <s v="iPad"/>
    <n v="18685"/>
    <n v="4"/>
    <n v="1552"/>
    <x v="7"/>
    <x v="0"/>
  </r>
  <r>
    <s v="2025-11-06"/>
    <x v="9"/>
    <x v="2"/>
    <x v="2"/>
    <x v="14"/>
    <s v="King Size Bed"/>
    <n v="32889"/>
    <n v="85"/>
    <n v="8346"/>
    <x v="0"/>
    <x v="0"/>
  </r>
  <r>
    <s v="2025-05-25"/>
    <x v="6"/>
    <x v="2"/>
    <x v="2"/>
    <x v="11"/>
    <s v="Office Cupboard"/>
    <n v="57293"/>
    <n v="76"/>
    <n v="5821"/>
    <x v="9"/>
    <x v="0"/>
  </r>
  <r>
    <s v="2025-11-08"/>
    <x v="15"/>
    <x v="0"/>
    <x v="1"/>
    <x v="2"/>
    <s v="Nikon Camera"/>
    <n v="58953"/>
    <n v="12"/>
    <n v="12278"/>
    <x v="0"/>
    <x v="0"/>
  </r>
  <r>
    <s v="2025-01-26"/>
    <x v="7"/>
    <x v="2"/>
    <x v="2"/>
    <x v="9"/>
    <s v="Work Desk"/>
    <n v="36796"/>
    <n v="92"/>
    <n v="8931"/>
    <x v="8"/>
    <x v="0"/>
  </r>
  <r>
    <s v="2025-01-19"/>
    <x v="14"/>
    <x v="3"/>
    <x v="1"/>
    <x v="5"/>
    <s v="Samsung Mobile"/>
    <n v="22172"/>
    <n v="36"/>
    <n v="5382"/>
    <x v="8"/>
    <x v="0"/>
  </r>
  <r>
    <s v="2025-11-04"/>
    <x v="18"/>
    <x v="1"/>
    <x v="2"/>
    <x v="14"/>
    <s v="King Size Bed"/>
    <n v="26712"/>
    <n v="59"/>
    <n v="3319"/>
    <x v="0"/>
    <x v="0"/>
  </r>
  <r>
    <s v="2025-08-22"/>
    <x v="0"/>
    <x v="2"/>
    <x v="0"/>
    <x v="18"/>
    <s v="File Folder"/>
    <n v="30077"/>
    <n v="69"/>
    <n v="5141"/>
    <x v="1"/>
    <x v="0"/>
  </r>
  <r>
    <s v="2025-03-20"/>
    <x v="8"/>
    <x v="3"/>
    <x v="1"/>
    <x v="6"/>
    <s v="Dell Monitor"/>
    <n v="16850"/>
    <n v="81"/>
    <n v="2933"/>
    <x v="3"/>
    <x v="0"/>
  </r>
  <r>
    <s v="2025-10-02"/>
    <x v="4"/>
    <x v="2"/>
    <x v="2"/>
    <x v="4"/>
    <s v="Leather Sofa"/>
    <n v="2524"/>
    <n v="73"/>
    <n v="173"/>
    <x v="10"/>
    <x v="0"/>
  </r>
  <r>
    <s v="2025-08-10"/>
    <x v="14"/>
    <x v="4"/>
    <x v="2"/>
    <x v="13"/>
    <s v="Ergonomic Chair"/>
    <n v="46080"/>
    <n v="39"/>
    <n v="3178"/>
    <x v="1"/>
    <x v="0"/>
  </r>
  <r>
    <s v="2025-03-06"/>
    <x v="12"/>
    <x v="3"/>
    <x v="1"/>
    <x v="19"/>
    <s v="iPad"/>
    <n v="24393"/>
    <n v="12"/>
    <n v="3420"/>
    <x v="3"/>
    <x v="0"/>
  </r>
  <r>
    <s v="2025-10-25"/>
    <x v="6"/>
    <x v="4"/>
    <x v="0"/>
    <x v="1"/>
    <s v="Ball Pen"/>
    <n v="29470"/>
    <n v="47"/>
    <n v="2112"/>
    <x v="10"/>
    <x v="0"/>
  </r>
  <r>
    <s v="2025-06-16"/>
    <x v="9"/>
    <x v="4"/>
    <x v="0"/>
    <x v="10"/>
    <s v="Mail Envelope"/>
    <n v="59053"/>
    <n v="72"/>
    <n v="6638"/>
    <x v="6"/>
    <x v="0"/>
  </r>
  <r>
    <s v="2025-10-15"/>
    <x v="4"/>
    <x v="1"/>
    <x v="2"/>
    <x v="8"/>
    <s v="Wooden Bookcase"/>
    <n v="28935"/>
    <n v="10"/>
    <n v="5702"/>
    <x v="10"/>
    <x v="0"/>
  </r>
  <r>
    <s v="2025-05-07"/>
    <x v="13"/>
    <x v="2"/>
    <x v="2"/>
    <x v="9"/>
    <s v="Work Desk"/>
    <n v="5232"/>
    <n v="48"/>
    <n v="412"/>
    <x v="9"/>
    <x v="0"/>
  </r>
  <r>
    <s v="2025-07-03"/>
    <x v="17"/>
    <x v="2"/>
    <x v="0"/>
    <x v="10"/>
    <s v="Mail Envelope"/>
    <n v="38265"/>
    <n v="59"/>
    <n v="9842"/>
    <x v="4"/>
    <x v="0"/>
  </r>
  <r>
    <s v="2025-12-13"/>
    <x v="12"/>
    <x v="1"/>
    <x v="2"/>
    <x v="11"/>
    <s v="Office Cupboard"/>
    <n v="14409"/>
    <n v="3"/>
    <n v="3228"/>
    <x v="2"/>
    <x v="0"/>
  </r>
  <r>
    <s v="2025-08-17"/>
    <x v="13"/>
    <x v="3"/>
    <x v="1"/>
    <x v="12"/>
    <s v="Sony Headphones"/>
    <n v="45547"/>
    <n v="93"/>
    <n v="9811"/>
    <x v="1"/>
    <x v="0"/>
  </r>
  <r>
    <s v="2025-10-12"/>
    <x v="3"/>
    <x v="4"/>
    <x v="2"/>
    <x v="7"/>
    <s v="Wooden Table"/>
    <n v="16229"/>
    <n v="66"/>
    <n v="910"/>
    <x v="10"/>
    <x v="0"/>
  </r>
  <r>
    <s v="2025-02-03"/>
    <x v="7"/>
    <x v="5"/>
    <x v="1"/>
    <x v="5"/>
    <s v="Samsung Mobile"/>
    <n v="31586"/>
    <n v="39"/>
    <n v="1654"/>
    <x v="11"/>
    <x v="0"/>
  </r>
  <r>
    <s v="2025-09-16"/>
    <x v="12"/>
    <x v="4"/>
    <x v="2"/>
    <x v="11"/>
    <s v="Office Cupboard"/>
    <n v="20895"/>
    <n v="10"/>
    <n v="1523"/>
    <x v="7"/>
    <x v="0"/>
  </r>
  <r>
    <s v="2025-01-03"/>
    <x v="2"/>
    <x v="0"/>
    <x v="0"/>
    <x v="0"/>
    <s v="Stapler"/>
    <n v="45460"/>
    <n v="14"/>
    <n v="5648"/>
    <x v="8"/>
    <x v="0"/>
  </r>
  <r>
    <s v="2025-09-16"/>
    <x v="9"/>
    <x v="2"/>
    <x v="1"/>
    <x v="6"/>
    <s v="Dell Monitor"/>
    <n v="26280"/>
    <n v="53"/>
    <n v="7803"/>
    <x v="7"/>
    <x v="0"/>
  </r>
  <r>
    <s v="2025-12-27"/>
    <x v="1"/>
    <x v="4"/>
    <x v="2"/>
    <x v="9"/>
    <s v="Work Desk"/>
    <n v="44001"/>
    <n v="37"/>
    <n v="10850"/>
    <x v="2"/>
    <x v="0"/>
  </r>
  <r>
    <s v="2025-08-14"/>
    <x v="13"/>
    <x v="5"/>
    <x v="0"/>
    <x v="0"/>
    <s v="Stapler"/>
    <n v="41970"/>
    <n v="62"/>
    <n v="8534"/>
    <x v="1"/>
    <x v="0"/>
  </r>
  <r>
    <s v="2025-11-08"/>
    <x v="1"/>
    <x v="3"/>
    <x v="2"/>
    <x v="9"/>
    <s v="Work Desk"/>
    <n v="57979"/>
    <n v="93"/>
    <n v="12315"/>
    <x v="0"/>
    <x v="0"/>
  </r>
  <r>
    <s v="2025-10-11"/>
    <x v="19"/>
    <x v="0"/>
    <x v="2"/>
    <x v="4"/>
    <s v="Leather Sofa"/>
    <n v="50976"/>
    <n v="90"/>
    <n v="3016"/>
    <x v="10"/>
    <x v="0"/>
  </r>
  <r>
    <s v="2025-05-22"/>
    <x v="9"/>
    <x v="5"/>
    <x v="1"/>
    <x v="17"/>
    <s v="Canon Printer"/>
    <n v="8214"/>
    <n v="87"/>
    <n v="2225"/>
    <x v="9"/>
    <x v="0"/>
  </r>
  <r>
    <s v="2025-11-10"/>
    <x v="6"/>
    <x v="2"/>
    <x v="0"/>
    <x v="0"/>
    <s v="Stapler"/>
    <n v="19850"/>
    <n v="50"/>
    <n v="3430"/>
    <x v="0"/>
    <x v="0"/>
  </r>
  <r>
    <s v="2025-08-15"/>
    <x v="15"/>
    <x v="1"/>
    <x v="2"/>
    <x v="4"/>
    <s v="Leather Sofa"/>
    <n v="38443"/>
    <n v="14"/>
    <n v="10188"/>
    <x v="1"/>
    <x v="0"/>
  </r>
  <r>
    <s v="2025-03-25"/>
    <x v="4"/>
    <x v="1"/>
    <x v="0"/>
    <x v="15"/>
    <s v="A4 Sheets"/>
    <n v="24265"/>
    <n v="76"/>
    <n v="1428"/>
    <x v="3"/>
    <x v="0"/>
  </r>
  <r>
    <s v="2025-11-02"/>
    <x v="14"/>
    <x v="0"/>
    <x v="0"/>
    <x v="15"/>
    <s v="A4 Sheets"/>
    <n v="26559"/>
    <n v="79"/>
    <n v="1361"/>
    <x v="0"/>
    <x v="0"/>
  </r>
  <r>
    <s v="2025-06-05"/>
    <x v="16"/>
    <x v="2"/>
    <x v="0"/>
    <x v="10"/>
    <s v="Mail Envelope"/>
    <n v="10903"/>
    <n v="77"/>
    <n v="2983"/>
    <x v="6"/>
    <x v="0"/>
  </r>
  <r>
    <s v="2025-03-26"/>
    <x v="18"/>
    <x v="2"/>
    <x v="2"/>
    <x v="13"/>
    <s v="Ergonomic Chair"/>
    <n v="2591"/>
    <n v="40"/>
    <n v="568"/>
    <x v="3"/>
    <x v="0"/>
  </r>
  <r>
    <s v="2025-06-24"/>
    <x v="2"/>
    <x v="0"/>
    <x v="0"/>
    <x v="10"/>
    <s v="Mail Envelope"/>
    <n v="8314"/>
    <n v="80"/>
    <n v="1784"/>
    <x v="6"/>
    <x v="0"/>
  </r>
  <r>
    <s v="2025-09-13"/>
    <x v="3"/>
    <x v="1"/>
    <x v="2"/>
    <x v="4"/>
    <s v="Leather Sofa"/>
    <n v="34130"/>
    <n v="45"/>
    <n v="7657"/>
    <x v="7"/>
    <x v="0"/>
  </r>
  <r>
    <s v="2025-12-07"/>
    <x v="15"/>
    <x v="1"/>
    <x v="1"/>
    <x v="6"/>
    <s v="Dell Monitor"/>
    <n v="49874"/>
    <n v="45"/>
    <n v="13364"/>
    <x v="2"/>
    <x v="0"/>
  </r>
  <r>
    <s v="2025-05-07"/>
    <x v="14"/>
    <x v="2"/>
    <x v="0"/>
    <x v="3"/>
    <s v="Office Binder"/>
    <n v="37766"/>
    <n v="82"/>
    <n v="9611"/>
    <x v="9"/>
    <x v="0"/>
  </r>
  <r>
    <s v="2025-07-02"/>
    <x v="12"/>
    <x v="0"/>
    <x v="1"/>
    <x v="19"/>
    <s v="iPad"/>
    <n v="22727"/>
    <n v="13"/>
    <n v="4641"/>
    <x v="4"/>
    <x v="0"/>
  </r>
  <r>
    <s v="2025-02-24"/>
    <x v="18"/>
    <x v="4"/>
    <x v="2"/>
    <x v="13"/>
    <s v="Ergonomic Chair"/>
    <n v="2007"/>
    <n v="70"/>
    <n v="242"/>
    <x v="11"/>
    <x v="0"/>
  </r>
  <r>
    <s v="2025-12-15"/>
    <x v="5"/>
    <x v="4"/>
    <x v="0"/>
    <x v="3"/>
    <s v="Office Binder"/>
    <n v="26821"/>
    <n v="37"/>
    <n v="2028"/>
    <x v="2"/>
    <x v="0"/>
  </r>
  <r>
    <s v="2025-12-22"/>
    <x v="6"/>
    <x v="1"/>
    <x v="1"/>
    <x v="6"/>
    <s v="Dell Monitor"/>
    <n v="9073"/>
    <n v="65"/>
    <n v="585"/>
    <x v="2"/>
    <x v="0"/>
  </r>
  <r>
    <s v="2025-12-04"/>
    <x v="19"/>
    <x v="2"/>
    <x v="0"/>
    <x v="3"/>
    <s v="Office Binder"/>
    <n v="26338"/>
    <n v="99"/>
    <n v="5230"/>
    <x v="2"/>
    <x v="0"/>
  </r>
  <r>
    <s v="2025-06-15"/>
    <x v="2"/>
    <x v="1"/>
    <x v="0"/>
    <x v="10"/>
    <s v="Mail Envelope"/>
    <n v="48182"/>
    <n v="32"/>
    <n v="11689"/>
    <x v="6"/>
    <x v="0"/>
  </r>
  <r>
    <s v="2025-02-04"/>
    <x v="5"/>
    <x v="2"/>
    <x v="1"/>
    <x v="12"/>
    <s v="Sony Headphones"/>
    <n v="15288"/>
    <n v="99"/>
    <n v="2489"/>
    <x v="11"/>
    <x v="0"/>
  </r>
  <r>
    <s v="2025-04-02"/>
    <x v="14"/>
    <x v="0"/>
    <x v="0"/>
    <x v="10"/>
    <s v="Mail Envelope"/>
    <n v="47766"/>
    <n v="78"/>
    <n v="5135"/>
    <x v="5"/>
    <x v="0"/>
  </r>
  <r>
    <s v="2025-12-24"/>
    <x v="6"/>
    <x v="1"/>
    <x v="0"/>
    <x v="1"/>
    <s v="Ball Pen"/>
    <n v="33347"/>
    <n v="93"/>
    <n v="9534"/>
    <x v="2"/>
    <x v="0"/>
  </r>
  <r>
    <s v="2025-03-25"/>
    <x v="15"/>
    <x v="3"/>
    <x v="2"/>
    <x v="4"/>
    <s v="Leather Sofa"/>
    <n v="33196"/>
    <n v="3"/>
    <n v="4248"/>
    <x v="3"/>
    <x v="0"/>
  </r>
  <r>
    <s v="2025-02-03"/>
    <x v="0"/>
    <x v="5"/>
    <x v="1"/>
    <x v="6"/>
    <s v="Dell Monitor"/>
    <n v="27431"/>
    <n v="25"/>
    <n v="6274"/>
    <x v="11"/>
    <x v="0"/>
  </r>
  <r>
    <s v="2025-11-08"/>
    <x v="3"/>
    <x v="3"/>
    <x v="1"/>
    <x v="12"/>
    <s v="Sony Headphones"/>
    <n v="22563"/>
    <n v="46"/>
    <n v="2277"/>
    <x v="0"/>
    <x v="0"/>
  </r>
  <r>
    <s v="2025-02-20"/>
    <x v="19"/>
    <x v="1"/>
    <x v="2"/>
    <x v="14"/>
    <s v="King Size Bed"/>
    <n v="40110"/>
    <n v="3"/>
    <n v="9995"/>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Isha Kapoor"/>
    <x v="0"/>
  </r>
  <r>
    <s v="Priya Singh"/>
    <x v="0"/>
  </r>
  <r>
    <s v="Amit Sharma"/>
    <x v="0"/>
  </r>
  <r>
    <s v="Arjun Sethi"/>
    <x v="0"/>
  </r>
  <r>
    <s v="Karan Joshi"/>
    <x v="0"/>
  </r>
  <r>
    <s v="Neha Verma"/>
    <x v="0"/>
  </r>
  <r>
    <s v="Nidhi Agarwal"/>
    <x v="0"/>
  </r>
  <r>
    <s v="Divya Jain"/>
    <x v="0"/>
  </r>
  <r>
    <s v="Simran Gill"/>
    <x v="0"/>
  </r>
  <r>
    <s v="Manoj Gupta"/>
    <x v="0"/>
  </r>
  <r>
    <s v="Ravi Kumar"/>
    <x v="0"/>
  </r>
  <r>
    <s v="Pooja Nair"/>
    <x v="0"/>
  </r>
  <r>
    <s v="Alok Bhatia"/>
    <x v="0"/>
  </r>
  <r>
    <s v="Rohit Mehta"/>
    <x v="0"/>
  </r>
  <r>
    <s v="Suresh Yadav"/>
    <x v="0"/>
  </r>
  <r>
    <s v="Sneha Iyer"/>
    <x v="0"/>
  </r>
  <r>
    <s v="Rakesh Reddy"/>
    <x v="0"/>
  </r>
  <r>
    <s v="Vikas Chauhan"/>
    <x v="0"/>
  </r>
  <r>
    <s v="Anita Das"/>
    <x v="0"/>
  </r>
  <r>
    <s v="Vinod Malhotra"/>
    <x v="0"/>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3E3746-C3D3-4198-945F-A44FC86EDAB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D6:AE8" firstHeaderRow="1" firstDataRow="1" firstDataCol="1"/>
  <pivotFields count="11">
    <pivotField showAll="0"/>
    <pivotField showAll="0">
      <items count="21">
        <item x="12"/>
        <item x="2"/>
        <item x="18"/>
        <item x="3"/>
        <item x="7"/>
        <item x="0"/>
        <item x="4"/>
        <item x="9"/>
        <item x="5"/>
        <item x="6"/>
        <item x="11"/>
        <item x="1"/>
        <item x="16"/>
        <item x="10"/>
        <item x="13"/>
        <item x="8"/>
        <item x="15"/>
        <item x="14"/>
        <item x="17"/>
        <item x="19"/>
        <item t="default"/>
      </items>
    </pivotField>
    <pivotField showAll="0">
      <items count="7">
        <item x="4"/>
        <item x="1"/>
        <item x="2"/>
        <item x="3"/>
        <item x="0"/>
        <item x="5"/>
        <item t="default"/>
      </items>
    </pivotField>
    <pivotField showAll="0">
      <items count="4">
        <item x="2"/>
        <item x="0"/>
        <item x="1"/>
        <item t="default"/>
      </items>
    </pivotField>
    <pivotField showAll="0">
      <items count="21">
        <item x="14"/>
        <item x="3"/>
        <item x="8"/>
        <item x="2"/>
        <item x="13"/>
        <item x="11"/>
        <item x="9"/>
        <item x="10"/>
        <item x="18"/>
        <item x="12"/>
        <item x="16"/>
        <item x="5"/>
        <item x="6"/>
        <item x="15"/>
        <item x="1"/>
        <item x="17"/>
        <item x="4"/>
        <item x="0"/>
        <item x="7"/>
        <item x="19"/>
        <item t="default"/>
      </items>
    </pivotField>
    <pivotField showAll="0"/>
    <pivotField dataField="1" showAll="0"/>
    <pivotField showAll="0"/>
    <pivotField showAll="0"/>
    <pivotField axis="axisRow" showAll="0">
      <items count="13">
        <item x="8"/>
        <item h="1" x="11"/>
        <item h="1" x="3"/>
        <item h="1" x="5"/>
        <item h="1" x="9"/>
        <item h="1" x="6"/>
        <item h="1" x="4"/>
        <item h="1" x="1"/>
        <item h="1" x="7"/>
        <item h="1" x="10"/>
        <item h="1" x="0"/>
        <item h="1" x="2"/>
        <item t="default"/>
      </items>
    </pivotField>
    <pivotField showAll="0">
      <items count="2">
        <item x="0"/>
        <item t="default"/>
      </items>
    </pivotField>
  </pivotFields>
  <rowFields count="1">
    <field x="9"/>
  </rowFields>
  <rowItems count="2">
    <i>
      <x/>
    </i>
    <i t="grand">
      <x/>
    </i>
  </rowItems>
  <colItems count="1">
    <i/>
  </colItems>
  <dataFields count="1">
    <dataField name="Sum of Sales" fld="6" baseField="0" baseItem="0" numFmtId="166"/>
  </dataFields>
  <formats count="2">
    <format dxfId="9">
      <pivotArea outline="0" collapsedLevelsAreSubtotals="1" fieldPosition="0"/>
    </format>
    <format dxfId="8">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7"/>
          </reference>
        </references>
      </pivotArea>
    </chartFormat>
    <chartFormat chart="4" format="4">
      <pivotArea type="data" outline="0" fieldPosition="0">
        <references count="2">
          <reference field="4294967294" count="1" selected="0">
            <x v="0"/>
          </reference>
          <reference field="9" count="1" selected="0">
            <x v="4"/>
          </reference>
        </references>
      </pivotArea>
    </chartFormat>
    <chartFormat chart="4" format="5">
      <pivotArea type="data" outline="0" fieldPosition="0">
        <references count="2">
          <reference field="4294967294" count="1" selected="0">
            <x v="0"/>
          </reference>
          <reference field="9" count="1" selected="0">
            <x v="5"/>
          </reference>
        </references>
      </pivotArea>
    </chartFormat>
    <chartFormat chart="4" format="6">
      <pivotArea type="data" outline="0" fieldPosition="0">
        <references count="2">
          <reference field="4294967294" count="1" selected="0">
            <x v="0"/>
          </reference>
          <reference field="9" count="1" selected="0">
            <x v="10"/>
          </reference>
        </references>
      </pivotArea>
    </chartFormat>
    <chartFormat chart="4" format="7">
      <pivotArea type="data" outline="0" fieldPosition="0">
        <references count="2">
          <reference field="4294967294" count="1" selected="0">
            <x v="0"/>
          </reference>
          <reference field="9" count="1" selected="0">
            <x v="8"/>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CEA06-F089-4E8F-9512-8F84F8FF67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items count="13">
        <item x="8"/>
        <item h="1" x="11"/>
        <item h="1" x="3"/>
        <item h="1" x="5"/>
        <item h="1" x="9"/>
        <item h="1" x="6"/>
        <item h="1" x="4"/>
        <item h="1" x="1"/>
        <item h="1" x="7"/>
        <item h="1" x="10"/>
        <item h="1" x="0"/>
        <item h="1" x="2"/>
        <item t="default"/>
      </items>
    </pivotField>
    <pivotField showAll="0">
      <items count="2">
        <item x="0"/>
        <item t="default"/>
      </items>
    </pivotField>
  </pivotFields>
  <rowItems count="1">
    <i/>
  </rowItems>
  <colItems count="1">
    <i/>
  </colItems>
  <dataFields count="1">
    <dataField name="Sum of Sales" fld="6"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CB8844-AC99-4684-BBBB-B8F0646063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G7" firstHeaderRow="1" firstDataRow="2" firstDataCol="1"/>
  <pivotFields count="11">
    <pivotField showAll="0"/>
    <pivotField showAll="0"/>
    <pivotField showAll="0"/>
    <pivotField axis="axisCol" showAll="0">
      <items count="4">
        <item x="2"/>
        <item x="0"/>
        <item x="1"/>
        <item t="default"/>
      </items>
    </pivotField>
    <pivotField showAll="0"/>
    <pivotField showAll="0"/>
    <pivotField showAll="0"/>
    <pivotField showAll="0"/>
    <pivotField dataField="1" showAll="0"/>
    <pivotField showAll="0">
      <items count="13">
        <item x="8"/>
        <item h="1" x="11"/>
        <item h="1" x="3"/>
        <item h="1" x="5"/>
        <item h="1" x="9"/>
        <item h="1" x="6"/>
        <item h="1" x="4"/>
        <item h="1" x="1"/>
        <item h="1" x="7"/>
        <item h="1" x="10"/>
        <item h="1" x="0"/>
        <item h="1" x="2"/>
        <item t="default"/>
      </items>
    </pivotField>
    <pivotField axis="axisRow" showAll="0">
      <items count="2">
        <item x="0"/>
        <item t="default"/>
      </items>
    </pivotField>
  </pivotFields>
  <rowFields count="1">
    <field x="10"/>
  </rowFields>
  <rowItems count="2">
    <i>
      <x/>
    </i>
    <i t="grand">
      <x/>
    </i>
  </rowItems>
  <colFields count="1">
    <field x="3"/>
  </colFields>
  <colItems count="4">
    <i>
      <x/>
    </i>
    <i>
      <x v="1"/>
    </i>
    <i>
      <x v="2"/>
    </i>
    <i t="grand">
      <x/>
    </i>
  </colItems>
  <dataFields count="1">
    <dataField name="Sum of Profit" fld="8" baseField="0" baseItem="0" numFmtId="164"/>
  </dataFields>
  <formats count="1">
    <format dxfId="11">
      <pivotArea outline="0" collapsedLevelsAreSubtotals="1" fieldPosition="0"/>
    </format>
  </format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79A5D8-B23D-4860-9CE2-4900F20822E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6:AB12" firstHeaderRow="1" firstDataRow="1" firstDataCol="1"/>
  <pivotFields count="11">
    <pivotField showAll="0"/>
    <pivotField axis="axisRow" showAll="0" measureFilter="1" sortType="descending">
      <items count="21">
        <item x="12"/>
        <item x="2"/>
        <item x="18"/>
        <item x="3"/>
        <item x="7"/>
        <item x="0"/>
        <item x="4"/>
        <item x="9"/>
        <item x="5"/>
        <item x="6"/>
        <item x="11"/>
        <item x="1"/>
        <item x="16"/>
        <item x="10"/>
        <item x="13"/>
        <item x="8"/>
        <item x="15"/>
        <item x="14"/>
        <item x="17"/>
        <item x="19"/>
        <item t="default"/>
      </items>
      <autoSortScope>
        <pivotArea dataOnly="0" outline="0" fieldPosition="0">
          <references count="1">
            <reference field="4294967294" count="1" selected="0">
              <x v="0"/>
            </reference>
          </references>
        </pivotArea>
      </autoSortScope>
    </pivotField>
    <pivotField showAll="0">
      <items count="7">
        <item x="4"/>
        <item x="1"/>
        <item x="2"/>
        <item x="3"/>
        <item x="0"/>
        <item x="5"/>
        <item t="default"/>
      </items>
    </pivotField>
    <pivotField showAll="0">
      <items count="4">
        <item x="2"/>
        <item x="0"/>
        <item x="1"/>
        <item t="default"/>
      </items>
    </pivotField>
    <pivotField showAll="0">
      <items count="21">
        <item x="14"/>
        <item x="3"/>
        <item x="8"/>
        <item x="2"/>
        <item x="13"/>
        <item x="11"/>
        <item x="9"/>
        <item x="10"/>
        <item x="18"/>
        <item x="12"/>
        <item x="16"/>
        <item x="5"/>
        <item x="6"/>
        <item x="15"/>
        <item x="1"/>
        <item x="17"/>
        <item x="4"/>
        <item x="0"/>
        <item x="7"/>
        <item x="19"/>
        <item t="default"/>
      </items>
    </pivotField>
    <pivotField showAll="0"/>
    <pivotField showAll="0"/>
    <pivotField showAll="0"/>
    <pivotField dataField="1" showAll="0"/>
    <pivotField showAll="0">
      <items count="13">
        <item x="8"/>
        <item h="1" x="11"/>
        <item h="1" x="3"/>
        <item h="1" x="5"/>
        <item h="1" x="9"/>
        <item h="1" x="6"/>
        <item h="1" x="4"/>
        <item h="1" x="1"/>
        <item h="1" x="7"/>
        <item h="1" x="10"/>
        <item h="1" x="0"/>
        <item h="1" x="2"/>
        <item t="default"/>
      </items>
    </pivotField>
    <pivotField showAll="0">
      <items count="2">
        <item x="0"/>
        <item t="default"/>
      </items>
    </pivotField>
  </pivotFields>
  <rowFields count="1">
    <field x="1"/>
  </rowFields>
  <rowItems count="6">
    <i>
      <x v="15"/>
    </i>
    <i>
      <x v="13"/>
    </i>
    <i>
      <x v="16"/>
    </i>
    <i>
      <x v="17"/>
    </i>
    <i>
      <x v="4"/>
    </i>
    <i t="grand">
      <x/>
    </i>
  </rowItems>
  <colItems count="1">
    <i/>
  </colItems>
  <dataFields count="1">
    <dataField name="Sum of Profit" fld="8" baseField="0" baseItem="0" numFmtId="164"/>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6607AA-A736-4BE4-8A13-2CB3E1BD43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12" firstHeaderRow="1" firstDataRow="1" firstDataCol="1"/>
  <pivotFields count="11">
    <pivotField showAll="0"/>
    <pivotField showAll="0"/>
    <pivotField axis="axisRow" showAll="0">
      <items count="7">
        <item x="4"/>
        <item x="1"/>
        <item x="2"/>
        <item x="3"/>
        <item x="0"/>
        <item x="5"/>
        <item t="default"/>
      </items>
    </pivotField>
    <pivotField showAll="0">
      <items count="4">
        <item x="2"/>
        <item x="0"/>
        <item x="1"/>
        <item t="default"/>
      </items>
    </pivotField>
    <pivotField showAll="0">
      <items count="21">
        <item x="14"/>
        <item x="3"/>
        <item x="8"/>
        <item x="2"/>
        <item x="13"/>
        <item x="11"/>
        <item x="9"/>
        <item x="10"/>
        <item x="18"/>
        <item x="12"/>
        <item x="16"/>
        <item x="5"/>
        <item x="6"/>
        <item x="15"/>
        <item x="1"/>
        <item x="17"/>
        <item x="4"/>
        <item x="0"/>
        <item x="7"/>
        <item x="19"/>
        <item t="default"/>
      </items>
    </pivotField>
    <pivotField showAll="0"/>
    <pivotField dataField="1" showAll="0"/>
    <pivotField showAll="0"/>
    <pivotField showAll="0"/>
    <pivotField showAll="0">
      <items count="13">
        <item x="8"/>
        <item h="1" x="11"/>
        <item h="1" x="3"/>
        <item h="1" x="5"/>
        <item h="1" x="9"/>
        <item h="1" x="6"/>
        <item h="1" x="4"/>
        <item h="1" x="1"/>
        <item h="1" x="7"/>
        <item h="1" x="10"/>
        <item h="1" x="0"/>
        <item h="1" x="2"/>
        <item t="default"/>
      </items>
    </pivotField>
    <pivotField showAll="0">
      <items count="2">
        <item x="0"/>
        <item t="default"/>
      </items>
    </pivotField>
  </pivotFields>
  <rowFields count="1">
    <field x="2"/>
  </rowFields>
  <rowItems count="7">
    <i>
      <x/>
    </i>
    <i>
      <x v="1"/>
    </i>
    <i>
      <x v="2"/>
    </i>
    <i>
      <x v="3"/>
    </i>
    <i>
      <x v="4"/>
    </i>
    <i>
      <x v="5"/>
    </i>
    <i t="grand">
      <x/>
    </i>
  </rowItems>
  <colItems count="1">
    <i/>
  </colItems>
  <dataFields count="1">
    <dataField name="Sum of Sales" fld="6"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93A1FE-A675-49AB-ABB9-70CA562064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17" firstHeaderRow="1" firstDataRow="1" firstDataCol="1"/>
  <pivotFields count="11">
    <pivotField showAll="0"/>
    <pivotField showAll="0"/>
    <pivotField showAll="0"/>
    <pivotField showAll="0">
      <items count="4">
        <item x="2"/>
        <item x="0"/>
        <item x="1"/>
        <item t="default"/>
      </items>
    </pivotField>
    <pivotField axis="axisRow" showAll="0" sortType="descending">
      <items count="21">
        <item x="14"/>
        <item x="3"/>
        <item x="8"/>
        <item x="2"/>
        <item x="13"/>
        <item x="11"/>
        <item x="9"/>
        <item x="10"/>
        <item x="18"/>
        <item x="12"/>
        <item x="16"/>
        <item x="5"/>
        <item x="6"/>
        <item x="15"/>
        <item x="1"/>
        <item x="17"/>
        <item x="4"/>
        <item x="0"/>
        <item x="7"/>
        <item x="1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8"/>
        <item h="1" x="11"/>
        <item h="1" x="3"/>
        <item h="1" x="5"/>
        <item h="1" x="9"/>
        <item h="1" x="6"/>
        <item h="1" x="4"/>
        <item h="1" x="1"/>
        <item h="1" x="7"/>
        <item h="1" x="10"/>
        <item h="1" x="0"/>
        <item h="1" x="2"/>
        <item t="default"/>
      </items>
    </pivotField>
    <pivotField showAll="0">
      <items count="2">
        <item x="0"/>
        <item t="default"/>
      </items>
    </pivotField>
  </pivotFields>
  <rowFields count="1">
    <field x="4"/>
  </rowFields>
  <rowItems count="13">
    <i>
      <x v="7"/>
    </i>
    <i>
      <x v="19"/>
    </i>
    <i>
      <x v="8"/>
    </i>
    <i>
      <x v="3"/>
    </i>
    <i>
      <x v="9"/>
    </i>
    <i>
      <x v="2"/>
    </i>
    <i>
      <x v="17"/>
    </i>
    <i>
      <x v="14"/>
    </i>
    <i>
      <x v="6"/>
    </i>
    <i>
      <x v="5"/>
    </i>
    <i>
      <x v="11"/>
    </i>
    <i>
      <x v="10"/>
    </i>
    <i t="grand">
      <x/>
    </i>
  </rowItems>
  <colItems count="1">
    <i/>
  </colItems>
  <dataFields count="1">
    <dataField name="Sum of Sales" fld="6"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EF6CBD-A6F2-403E-8310-0FB5EFDDA41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S7" firstHeaderRow="1" firstDataRow="1" firstDataCol="1"/>
  <pivotFields count="2">
    <pivotField dataField="1" showAll="0"/>
    <pivotField axis="axisRow" showAll="0">
      <items count="3">
        <item x="0"/>
        <item x="1"/>
        <item t="default"/>
      </items>
    </pivotField>
  </pivotFields>
  <rowFields count="1">
    <field x="1"/>
  </rowFields>
  <rowItems count="3">
    <i>
      <x/>
    </i>
    <i>
      <x v="1"/>
    </i>
    <i t="grand">
      <x/>
    </i>
  </rowItems>
  <colItems count="1">
    <i/>
  </colItems>
  <dataFields count="1">
    <dataField name="Count of Customer Name" fld="0" subtotal="count" baseField="0" baseItem="0" numFmtId="164"/>
  </dataFields>
  <formats count="1">
    <format dxfId="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B75260-FE77-47FA-9482-21636D6C3E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items count="13">
        <item x="8"/>
        <item h="1" x="11"/>
        <item h="1" x="3"/>
        <item h="1" x="5"/>
        <item h="1" x="9"/>
        <item h="1" x="6"/>
        <item h="1" x="4"/>
        <item h="1" x="1"/>
        <item h="1" x="7"/>
        <item h="1" x="10"/>
        <item h="1" x="0"/>
        <item h="1" x="2"/>
        <item t="default"/>
      </items>
    </pivotField>
    <pivotField showAll="0">
      <items count="2">
        <item x="0"/>
        <item t="default"/>
      </items>
    </pivotField>
  </pivotFields>
  <rowItems count="1">
    <i/>
  </rowItems>
  <colItems count="1">
    <i/>
  </colItems>
  <dataFields count="1">
    <dataField name="Sum of Profit" fld="8"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1EB098-030C-4643-9C15-A889FAA17C02}"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16873679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6286957-A4D2-4C71-B0DC-D12EECE8797E}"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168736795">
      <items count="12">
        <i x="8" s="1"/>
        <i x="11"/>
        <i x="3"/>
        <i x="5"/>
        <i x="9"/>
        <i x="6"/>
        <i x="4"/>
        <i x="1"/>
        <i x="7"/>
        <i x="10"/>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FD6212-7A72-4E21-97CB-0B15C4D41AAB}"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168736795">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12A896-5E43-44C9-88A1-A7A3F314E447}" cache="Slicer_Category" caption="Category" style="SlicerStyleDark1" rowHeight="241300"/>
  <slicer name="Month" xr10:uid="{9824384C-9317-46D4-AD8C-8611D021A5BB}" cache="Slicer_Month" caption="Month" style="SlicerStyleDark1" rowHeight="241300"/>
  <slicer name="Year" xr10:uid="{5714925F-4651-4BE8-A8C0-289D4D316066}" cache="Slicer_Year" caption="Year"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74FAC43-885C-40D1-B2D5-AEBD43E565C1}" cache="Slicer_Category" caption="Category" style="SlicerStyleDark1" rowHeight="241300"/>
  <slicer name="Month 1" xr10:uid="{D5C3E210-751B-41D3-964C-090F04403DD2}" cache="Slicer_Month" caption="Month" style="SlicerStyleDark1" rowHeight="241300"/>
  <slicer name="Year 1" xr10:uid="{84DA95CD-39F3-4AF8-950C-97E36D51E5D4}" cache="Slicer_Year" caption="Yea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AB2284-5451-4431-8D5C-555D8741DB1C}" name="Table2" displayName="Table2" ref="A1:K201" totalsRowShown="0" headerRowDxfId="19" headerRowBorderDxfId="18" tableBorderDxfId="17">
  <tableColumns count="11">
    <tableColumn id="1" xr3:uid="{8D2B9B27-FE7A-4DDD-8331-30123DADFC46}" name="Order Date"/>
    <tableColumn id="2" xr3:uid="{56206D1B-B1F9-461F-B355-F99FC05461A2}" name="Customer Name"/>
    <tableColumn id="3" xr3:uid="{AB3F428E-B953-4667-A436-FDAD994CCBD8}" name="State"/>
    <tableColumn id="4" xr3:uid="{4B01C4C0-138C-4C49-B105-DC549DB02A0B}" name="Category"/>
    <tableColumn id="5" xr3:uid="{7C95E32F-87A4-4D09-B23F-76D7AB45B579}" name="Sub-Category"/>
    <tableColumn id="6" xr3:uid="{8505804E-E71A-4C8F-ABD8-7ECDEA53A794}" name="Product Name"/>
    <tableColumn id="7" xr3:uid="{980B4808-E136-445E-9A0A-BC5FEE2BAC5B}" name="Sales"/>
    <tableColumn id="8" xr3:uid="{07C33B50-8828-461E-A970-C20E2C0E880E}" name="Quantity"/>
    <tableColumn id="9" xr3:uid="{7ABE290F-A4C1-499C-9F31-2976663D90A3}" name="Profit"/>
    <tableColumn id="10" xr3:uid="{9CACFAEC-84FA-477C-8E9B-D7D54796E3E1}" name="Month"/>
    <tableColumn id="11" xr3:uid="{19A18EE3-90CC-4704-8DC9-47DE69B8287D}"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workbookViewId="0">
      <pane ySplit="1" topLeftCell="A2" activePane="bottomLeft" state="frozen"/>
      <selection pane="bottomLeft" activeCell="K1" sqref="K1:K1048576"/>
    </sheetView>
  </sheetViews>
  <sheetFormatPr defaultColWidth="14.453125" defaultRowHeight="15" customHeight="1"/>
  <cols>
    <col min="1" max="1" width="12.1796875" customWidth="1"/>
    <col min="2" max="2" width="16.36328125" customWidth="1"/>
    <col min="3" max="3" width="12.26953125" bestFit="1" customWidth="1"/>
    <col min="4" max="4" width="13.1796875" bestFit="1" customWidth="1"/>
    <col min="5" max="5" width="14" customWidth="1"/>
    <col min="6" max="6" width="16.36328125" bestFit="1" customWidth="1"/>
    <col min="7" max="7" width="8.7265625" customWidth="1"/>
    <col min="8" max="8" width="10.1796875" customWidth="1"/>
    <col min="9" max="11" width="8.7265625" customWidth="1"/>
  </cols>
  <sheetData>
    <row r="1" spans="1:11" ht="14.5">
      <c r="A1" s="1" t="s">
        <v>0</v>
      </c>
      <c r="B1" s="1" t="s">
        <v>1</v>
      </c>
      <c r="C1" s="1" t="s">
        <v>2</v>
      </c>
      <c r="D1" s="1" t="s">
        <v>3</v>
      </c>
      <c r="E1" s="1" t="s">
        <v>4</v>
      </c>
      <c r="F1" s="1" t="s">
        <v>5</v>
      </c>
      <c r="G1" s="1" t="s">
        <v>6</v>
      </c>
      <c r="H1" s="1" t="s">
        <v>7</v>
      </c>
      <c r="I1" s="1" t="s">
        <v>8</v>
      </c>
      <c r="J1" s="1" t="s">
        <v>9</v>
      </c>
      <c r="K1" s="1" t="s">
        <v>10</v>
      </c>
    </row>
    <row r="2" spans="1:11" ht="14.5">
      <c r="A2" t="s">
        <v>11</v>
      </c>
      <c r="B2" t="s">
        <v>12</v>
      </c>
      <c r="C2" t="s">
        <v>13</v>
      </c>
      <c r="D2" t="s">
        <v>14</v>
      </c>
      <c r="E2" t="s">
        <v>15</v>
      </c>
      <c r="F2" t="s">
        <v>16</v>
      </c>
      <c r="G2">
        <v>45732</v>
      </c>
      <c r="H2">
        <v>21</v>
      </c>
      <c r="I2">
        <v>4070</v>
      </c>
      <c r="J2" t="s">
        <v>17</v>
      </c>
      <c r="K2">
        <v>2025</v>
      </c>
    </row>
    <row r="3" spans="1:11" ht="14.5">
      <c r="A3" t="s">
        <v>18</v>
      </c>
      <c r="B3" t="s">
        <v>19</v>
      </c>
      <c r="C3" t="s">
        <v>20</v>
      </c>
      <c r="D3" t="s">
        <v>14</v>
      </c>
      <c r="E3" t="s">
        <v>21</v>
      </c>
      <c r="F3" t="s">
        <v>22</v>
      </c>
      <c r="G3">
        <v>42090</v>
      </c>
      <c r="H3">
        <v>22</v>
      </c>
      <c r="I3">
        <v>2698</v>
      </c>
      <c r="J3" t="s">
        <v>23</v>
      </c>
      <c r="K3">
        <v>2025</v>
      </c>
    </row>
    <row r="4" spans="1:11" ht="14.5">
      <c r="A4" t="s">
        <v>24</v>
      </c>
      <c r="B4" t="s">
        <v>25</v>
      </c>
      <c r="C4" t="s">
        <v>26</v>
      </c>
      <c r="D4" t="s">
        <v>27</v>
      </c>
      <c r="E4" t="s">
        <v>28</v>
      </c>
      <c r="F4" t="s">
        <v>29</v>
      </c>
      <c r="G4">
        <v>29693</v>
      </c>
      <c r="H4">
        <v>89</v>
      </c>
      <c r="I4">
        <v>3646</v>
      </c>
      <c r="J4" t="s">
        <v>30</v>
      </c>
      <c r="K4">
        <v>2025</v>
      </c>
    </row>
    <row r="5" spans="1:11" ht="14.5">
      <c r="A5" t="s">
        <v>31</v>
      </c>
      <c r="B5" t="s">
        <v>32</v>
      </c>
      <c r="C5" t="s">
        <v>33</v>
      </c>
      <c r="D5" t="s">
        <v>14</v>
      </c>
      <c r="E5" t="s">
        <v>34</v>
      </c>
      <c r="F5" t="s">
        <v>35</v>
      </c>
      <c r="G5">
        <v>57886</v>
      </c>
      <c r="H5">
        <v>64</v>
      </c>
      <c r="I5">
        <v>9649</v>
      </c>
      <c r="J5" t="s">
        <v>36</v>
      </c>
      <c r="K5">
        <v>2025</v>
      </c>
    </row>
    <row r="6" spans="1:11" ht="14.5">
      <c r="A6" t="s">
        <v>37</v>
      </c>
      <c r="B6" t="s">
        <v>38</v>
      </c>
      <c r="C6" t="s">
        <v>13</v>
      </c>
      <c r="D6" t="s">
        <v>39</v>
      </c>
      <c r="E6" t="s">
        <v>40</v>
      </c>
      <c r="F6" t="s">
        <v>41</v>
      </c>
      <c r="G6">
        <v>11627</v>
      </c>
      <c r="H6">
        <v>89</v>
      </c>
      <c r="I6">
        <v>3388</v>
      </c>
      <c r="J6" t="s">
        <v>42</v>
      </c>
      <c r="K6">
        <v>2025</v>
      </c>
    </row>
    <row r="7" spans="1:11" ht="14.5">
      <c r="A7" t="s">
        <v>43</v>
      </c>
      <c r="B7" t="s">
        <v>44</v>
      </c>
      <c r="C7" t="s">
        <v>45</v>
      </c>
      <c r="D7" t="s">
        <v>27</v>
      </c>
      <c r="E7" t="s">
        <v>46</v>
      </c>
      <c r="F7" t="s">
        <v>47</v>
      </c>
      <c r="G7">
        <v>24483</v>
      </c>
      <c r="H7">
        <v>71</v>
      </c>
      <c r="I7">
        <v>4957</v>
      </c>
      <c r="J7" t="s">
        <v>48</v>
      </c>
      <c r="K7">
        <v>2025</v>
      </c>
    </row>
    <row r="8" spans="1:11" ht="14.5">
      <c r="A8" t="s">
        <v>49</v>
      </c>
      <c r="B8" t="s">
        <v>50</v>
      </c>
      <c r="C8" t="s">
        <v>51</v>
      </c>
      <c r="D8" t="s">
        <v>14</v>
      </c>
      <c r="E8" t="s">
        <v>21</v>
      </c>
      <c r="F8" t="s">
        <v>22</v>
      </c>
      <c r="G8">
        <v>4943</v>
      </c>
      <c r="H8">
        <v>4</v>
      </c>
      <c r="I8">
        <v>632</v>
      </c>
      <c r="J8" t="s">
        <v>48</v>
      </c>
      <c r="K8">
        <v>2025</v>
      </c>
    </row>
    <row r="9" spans="1:11" ht="14.5">
      <c r="A9" t="s">
        <v>52</v>
      </c>
      <c r="B9" t="s">
        <v>19</v>
      </c>
      <c r="C9" t="s">
        <v>26</v>
      </c>
      <c r="D9" t="s">
        <v>27</v>
      </c>
      <c r="E9" t="s">
        <v>28</v>
      </c>
      <c r="F9" t="s">
        <v>29</v>
      </c>
      <c r="G9">
        <v>7873</v>
      </c>
      <c r="H9">
        <v>44</v>
      </c>
      <c r="I9">
        <v>2242</v>
      </c>
      <c r="J9" t="s">
        <v>53</v>
      </c>
      <c r="K9">
        <v>2025</v>
      </c>
    </row>
    <row r="10" spans="1:11" ht="14.5">
      <c r="A10" t="s">
        <v>54</v>
      </c>
      <c r="B10" t="s">
        <v>32</v>
      </c>
      <c r="C10" t="s">
        <v>51</v>
      </c>
      <c r="D10" t="s">
        <v>27</v>
      </c>
      <c r="E10" t="s">
        <v>55</v>
      </c>
      <c r="F10" t="s">
        <v>56</v>
      </c>
      <c r="G10">
        <v>26851</v>
      </c>
      <c r="H10">
        <v>62</v>
      </c>
      <c r="I10">
        <v>3526</v>
      </c>
      <c r="J10" t="s">
        <v>23</v>
      </c>
      <c r="K10">
        <v>2025</v>
      </c>
    </row>
    <row r="11" spans="1:11" ht="14.5">
      <c r="A11" t="s">
        <v>57</v>
      </c>
      <c r="B11" t="s">
        <v>58</v>
      </c>
      <c r="C11" t="s">
        <v>13</v>
      </c>
      <c r="D11" t="s">
        <v>39</v>
      </c>
      <c r="E11" t="s">
        <v>59</v>
      </c>
      <c r="F11" t="s">
        <v>60</v>
      </c>
      <c r="G11">
        <v>50216</v>
      </c>
      <c r="H11">
        <v>89</v>
      </c>
      <c r="I11">
        <v>14900</v>
      </c>
      <c r="J11" t="s">
        <v>61</v>
      </c>
      <c r="K11">
        <v>2025</v>
      </c>
    </row>
    <row r="12" spans="1:11" ht="14.5">
      <c r="A12" t="s">
        <v>62</v>
      </c>
      <c r="B12" t="s">
        <v>63</v>
      </c>
      <c r="C12" t="s">
        <v>20</v>
      </c>
      <c r="D12" t="s">
        <v>39</v>
      </c>
      <c r="E12" t="s">
        <v>64</v>
      </c>
      <c r="F12" t="s">
        <v>65</v>
      </c>
      <c r="G12">
        <v>14986</v>
      </c>
      <c r="H12">
        <v>35</v>
      </c>
      <c r="I12">
        <v>3638</v>
      </c>
      <c r="J12" t="s">
        <v>66</v>
      </c>
      <c r="K12">
        <v>2025</v>
      </c>
    </row>
    <row r="13" spans="1:11" ht="14.5">
      <c r="A13" t="s">
        <v>67</v>
      </c>
      <c r="B13" t="s">
        <v>38</v>
      </c>
      <c r="C13" t="s">
        <v>26</v>
      </c>
      <c r="D13" t="s">
        <v>39</v>
      </c>
      <c r="E13" t="s">
        <v>59</v>
      </c>
      <c r="F13" t="s">
        <v>60</v>
      </c>
      <c r="G13">
        <v>9392</v>
      </c>
      <c r="H13">
        <v>72</v>
      </c>
      <c r="I13">
        <v>1524</v>
      </c>
      <c r="J13" t="s">
        <v>30</v>
      </c>
      <c r="K13">
        <v>2025</v>
      </c>
    </row>
    <row r="14" spans="1:11" ht="14.5">
      <c r="A14" t="s">
        <v>31</v>
      </c>
      <c r="B14" t="s">
        <v>68</v>
      </c>
      <c r="C14" t="s">
        <v>51</v>
      </c>
      <c r="D14" t="s">
        <v>39</v>
      </c>
      <c r="E14" t="s">
        <v>69</v>
      </c>
      <c r="F14" t="s">
        <v>70</v>
      </c>
      <c r="G14">
        <v>11965</v>
      </c>
      <c r="H14">
        <v>91</v>
      </c>
      <c r="I14">
        <v>2277</v>
      </c>
      <c r="J14" t="s">
        <v>36</v>
      </c>
      <c r="K14">
        <v>2025</v>
      </c>
    </row>
    <row r="15" spans="1:11" ht="14.5">
      <c r="A15" t="s">
        <v>71</v>
      </c>
      <c r="B15" t="s">
        <v>72</v>
      </c>
      <c r="C15" t="s">
        <v>51</v>
      </c>
      <c r="D15" t="s">
        <v>14</v>
      </c>
      <c r="E15" t="s">
        <v>73</v>
      </c>
      <c r="F15" t="s">
        <v>74</v>
      </c>
      <c r="G15">
        <v>57537</v>
      </c>
      <c r="H15">
        <v>14</v>
      </c>
      <c r="I15">
        <v>9979</v>
      </c>
      <c r="J15" t="s">
        <v>66</v>
      </c>
      <c r="K15">
        <v>2025</v>
      </c>
    </row>
    <row r="16" spans="1:11" ht="14.5">
      <c r="A16" t="s">
        <v>75</v>
      </c>
      <c r="B16" t="s">
        <v>76</v>
      </c>
      <c r="C16" t="s">
        <v>26</v>
      </c>
      <c r="D16" t="s">
        <v>39</v>
      </c>
      <c r="E16" t="s">
        <v>69</v>
      </c>
      <c r="F16" t="s">
        <v>70</v>
      </c>
      <c r="G16">
        <v>58010</v>
      </c>
      <c r="H16">
        <v>63</v>
      </c>
      <c r="I16">
        <v>15891</v>
      </c>
      <c r="J16" t="s">
        <v>30</v>
      </c>
      <c r="K16">
        <v>2025</v>
      </c>
    </row>
    <row r="17" spans="1:11" ht="14.5">
      <c r="A17" t="s">
        <v>77</v>
      </c>
      <c r="B17" t="s">
        <v>19</v>
      </c>
      <c r="C17" t="s">
        <v>13</v>
      </c>
      <c r="D17" t="s">
        <v>39</v>
      </c>
      <c r="E17" t="s">
        <v>64</v>
      </c>
      <c r="F17" t="s">
        <v>65</v>
      </c>
      <c r="G17">
        <v>7374</v>
      </c>
      <c r="H17">
        <v>15</v>
      </c>
      <c r="I17">
        <v>1761</v>
      </c>
      <c r="J17" t="s">
        <v>78</v>
      </c>
      <c r="K17">
        <v>2025</v>
      </c>
    </row>
    <row r="18" spans="1:11" ht="14.5">
      <c r="A18" t="s">
        <v>79</v>
      </c>
      <c r="B18" t="s">
        <v>63</v>
      </c>
      <c r="C18" t="s">
        <v>20</v>
      </c>
      <c r="D18" t="s">
        <v>39</v>
      </c>
      <c r="E18" t="s">
        <v>69</v>
      </c>
      <c r="F18" t="s">
        <v>70</v>
      </c>
      <c r="G18">
        <v>44689</v>
      </c>
      <c r="H18">
        <v>45</v>
      </c>
      <c r="I18">
        <v>5537</v>
      </c>
      <c r="J18" t="s">
        <v>53</v>
      </c>
      <c r="K18">
        <v>2025</v>
      </c>
    </row>
    <row r="19" spans="1:11" ht="14.5">
      <c r="A19" t="s">
        <v>80</v>
      </c>
      <c r="B19" t="s">
        <v>81</v>
      </c>
      <c r="C19" t="s">
        <v>33</v>
      </c>
      <c r="D19" t="s">
        <v>39</v>
      </c>
      <c r="E19" t="s">
        <v>82</v>
      </c>
      <c r="F19" t="s">
        <v>83</v>
      </c>
      <c r="G19">
        <v>49925</v>
      </c>
      <c r="H19">
        <v>62</v>
      </c>
      <c r="I19">
        <v>9227</v>
      </c>
      <c r="J19" t="s">
        <v>30</v>
      </c>
      <c r="K19">
        <v>2025</v>
      </c>
    </row>
    <row r="20" spans="1:11" ht="14.5">
      <c r="A20" t="s">
        <v>84</v>
      </c>
      <c r="B20" t="s">
        <v>85</v>
      </c>
      <c r="C20" t="s">
        <v>33</v>
      </c>
      <c r="D20" t="s">
        <v>27</v>
      </c>
      <c r="E20" t="s">
        <v>86</v>
      </c>
      <c r="F20" t="s">
        <v>87</v>
      </c>
      <c r="G20">
        <v>2306</v>
      </c>
      <c r="H20">
        <v>62</v>
      </c>
      <c r="I20">
        <v>115</v>
      </c>
      <c r="J20" t="s">
        <v>66</v>
      </c>
      <c r="K20">
        <v>2025</v>
      </c>
    </row>
    <row r="21" spans="1:11" ht="15.75" customHeight="1">
      <c r="A21" t="s">
        <v>88</v>
      </c>
      <c r="B21" t="s">
        <v>85</v>
      </c>
      <c r="C21" t="s">
        <v>20</v>
      </c>
      <c r="D21" t="s">
        <v>39</v>
      </c>
      <c r="E21" t="s">
        <v>89</v>
      </c>
      <c r="F21" t="s">
        <v>90</v>
      </c>
      <c r="G21">
        <v>6530</v>
      </c>
      <c r="H21">
        <v>9</v>
      </c>
      <c r="I21">
        <v>1117</v>
      </c>
      <c r="J21" t="s">
        <v>53</v>
      </c>
      <c r="K21">
        <v>2025</v>
      </c>
    </row>
    <row r="22" spans="1:11" ht="15.75" customHeight="1">
      <c r="A22" t="s">
        <v>91</v>
      </c>
      <c r="B22" t="s">
        <v>81</v>
      </c>
      <c r="C22" t="s">
        <v>26</v>
      </c>
      <c r="D22" t="s">
        <v>39</v>
      </c>
      <c r="E22" t="s">
        <v>40</v>
      </c>
      <c r="F22" t="s">
        <v>41</v>
      </c>
      <c r="G22">
        <v>8994</v>
      </c>
      <c r="H22">
        <v>32</v>
      </c>
      <c r="I22">
        <v>1616</v>
      </c>
      <c r="J22" t="s">
        <v>23</v>
      </c>
      <c r="K22">
        <v>2025</v>
      </c>
    </row>
    <row r="23" spans="1:11" ht="15.75" customHeight="1">
      <c r="A23" t="s">
        <v>92</v>
      </c>
      <c r="B23" t="s">
        <v>50</v>
      </c>
      <c r="C23" t="s">
        <v>45</v>
      </c>
      <c r="D23" t="s">
        <v>39</v>
      </c>
      <c r="E23" t="s">
        <v>64</v>
      </c>
      <c r="F23" t="s">
        <v>65</v>
      </c>
      <c r="G23">
        <v>18675</v>
      </c>
      <c r="H23">
        <v>39</v>
      </c>
      <c r="I23">
        <v>3255</v>
      </c>
      <c r="J23" t="s">
        <v>93</v>
      </c>
      <c r="K23">
        <v>2025</v>
      </c>
    </row>
    <row r="24" spans="1:11" ht="15.75" customHeight="1">
      <c r="A24" t="s">
        <v>94</v>
      </c>
      <c r="B24" t="s">
        <v>50</v>
      </c>
      <c r="C24" t="s">
        <v>45</v>
      </c>
      <c r="D24" t="s">
        <v>39</v>
      </c>
      <c r="E24" t="s">
        <v>95</v>
      </c>
      <c r="F24" t="s">
        <v>96</v>
      </c>
      <c r="G24">
        <v>29673</v>
      </c>
      <c r="H24">
        <v>2</v>
      </c>
      <c r="I24">
        <v>4532</v>
      </c>
      <c r="J24" t="s">
        <v>17</v>
      </c>
      <c r="K24">
        <v>2025</v>
      </c>
    </row>
    <row r="25" spans="1:11" ht="15.75" customHeight="1">
      <c r="A25" t="s">
        <v>97</v>
      </c>
      <c r="B25" t="s">
        <v>25</v>
      </c>
      <c r="C25" t="s">
        <v>45</v>
      </c>
      <c r="D25" t="s">
        <v>14</v>
      </c>
      <c r="E25" t="s">
        <v>73</v>
      </c>
      <c r="F25" t="s">
        <v>74</v>
      </c>
      <c r="G25">
        <v>22556</v>
      </c>
      <c r="H25">
        <v>44</v>
      </c>
      <c r="I25">
        <v>3652</v>
      </c>
      <c r="J25" t="s">
        <v>36</v>
      </c>
      <c r="K25">
        <v>2025</v>
      </c>
    </row>
    <row r="26" spans="1:11" ht="15.75" customHeight="1">
      <c r="A26" t="s">
        <v>98</v>
      </c>
      <c r="B26" t="s">
        <v>99</v>
      </c>
      <c r="C26" t="s">
        <v>33</v>
      </c>
      <c r="D26" t="s">
        <v>27</v>
      </c>
      <c r="E26" t="s">
        <v>86</v>
      </c>
      <c r="F26" t="s">
        <v>87</v>
      </c>
      <c r="G26">
        <v>13688</v>
      </c>
      <c r="H26">
        <v>38</v>
      </c>
      <c r="I26">
        <v>1942</v>
      </c>
      <c r="J26" t="s">
        <v>23</v>
      </c>
      <c r="K26">
        <v>2025</v>
      </c>
    </row>
    <row r="27" spans="1:11" ht="15.75" customHeight="1">
      <c r="A27" t="s">
        <v>100</v>
      </c>
      <c r="B27" t="s">
        <v>99</v>
      </c>
      <c r="C27" t="s">
        <v>51</v>
      </c>
      <c r="D27" t="s">
        <v>27</v>
      </c>
      <c r="E27" t="s">
        <v>28</v>
      </c>
      <c r="F27" t="s">
        <v>29</v>
      </c>
      <c r="G27">
        <v>43107</v>
      </c>
      <c r="H27">
        <v>59</v>
      </c>
      <c r="I27">
        <v>4165</v>
      </c>
      <c r="J27" t="s">
        <v>66</v>
      </c>
      <c r="K27">
        <v>2025</v>
      </c>
    </row>
    <row r="28" spans="1:11" ht="15.75" customHeight="1">
      <c r="A28" t="s">
        <v>101</v>
      </c>
      <c r="B28" t="s">
        <v>19</v>
      </c>
      <c r="C28" t="s">
        <v>33</v>
      </c>
      <c r="D28" t="s">
        <v>39</v>
      </c>
      <c r="E28" t="s">
        <v>40</v>
      </c>
      <c r="F28" t="s">
        <v>41</v>
      </c>
      <c r="G28">
        <v>35754</v>
      </c>
      <c r="H28">
        <v>19</v>
      </c>
      <c r="I28">
        <v>4904</v>
      </c>
      <c r="J28" t="s">
        <v>36</v>
      </c>
      <c r="K28">
        <v>2025</v>
      </c>
    </row>
    <row r="29" spans="1:11" ht="15.75" customHeight="1">
      <c r="A29" t="s">
        <v>102</v>
      </c>
      <c r="B29" t="s">
        <v>25</v>
      </c>
      <c r="C29" t="s">
        <v>45</v>
      </c>
      <c r="D29" t="s">
        <v>14</v>
      </c>
      <c r="E29" t="s">
        <v>15</v>
      </c>
      <c r="F29" t="s">
        <v>16</v>
      </c>
      <c r="G29">
        <v>36153</v>
      </c>
      <c r="H29">
        <v>1</v>
      </c>
      <c r="I29">
        <v>7914</v>
      </c>
      <c r="J29" t="s">
        <v>23</v>
      </c>
      <c r="K29">
        <v>2025</v>
      </c>
    </row>
    <row r="30" spans="1:11" ht="15.75" customHeight="1">
      <c r="A30" t="s">
        <v>103</v>
      </c>
      <c r="B30" t="s">
        <v>76</v>
      </c>
      <c r="C30" t="s">
        <v>26</v>
      </c>
      <c r="D30" t="s">
        <v>39</v>
      </c>
      <c r="E30" t="s">
        <v>89</v>
      </c>
      <c r="F30" t="s">
        <v>90</v>
      </c>
      <c r="G30">
        <v>47843</v>
      </c>
      <c r="H30">
        <v>16</v>
      </c>
      <c r="I30">
        <v>12166</v>
      </c>
      <c r="J30" t="s">
        <v>36</v>
      </c>
      <c r="K30">
        <v>2025</v>
      </c>
    </row>
    <row r="31" spans="1:11" ht="15.75" customHeight="1">
      <c r="A31" t="s">
        <v>104</v>
      </c>
      <c r="B31" t="s">
        <v>50</v>
      </c>
      <c r="C31" t="s">
        <v>33</v>
      </c>
      <c r="D31" t="s">
        <v>39</v>
      </c>
      <c r="E31" t="s">
        <v>64</v>
      </c>
      <c r="F31" t="s">
        <v>65</v>
      </c>
      <c r="G31">
        <v>39191</v>
      </c>
      <c r="H31">
        <v>12</v>
      </c>
      <c r="I31">
        <v>7429</v>
      </c>
      <c r="J31" t="s">
        <v>105</v>
      </c>
      <c r="K31">
        <v>2025</v>
      </c>
    </row>
    <row r="32" spans="1:11" ht="15.75" customHeight="1">
      <c r="A32" t="s">
        <v>106</v>
      </c>
      <c r="B32" t="s">
        <v>72</v>
      </c>
      <c r="C32" t="s">
        <v>45</v>
      </c>
      <c r="D32" t="s">
        <v>14</v>
      </c>
      <c r="E32" t="s">
        <v>107</v>
      </c>
      <c r="F32" t="s">
        <v>108</v>
      </c>
      <c r="G32">
        <v>52407</v>
      </c>
      <c r="H32">
        <v>3</v>
      </c>
      <c r="I32">
        <v>13839</v>
      </c>
      <c r="J32" t="s">
        <v>36</v>
      </c>
      <c r="K32">
        <v>2025</v>
      </c>
    </row>
    <row r="33" spans="1:11" ht="15.75" customHeight="1">
      <c r="A33" t="s">
        <v>62</v>
      </c>
      <c r="B33" t="s">
        <v>99</v>
      </c>
      <c r="C33" t="s">
        <v>33</v>
      </c>
      <c r="D33" t="s">
        <v>27</v>
      </c>
      <c r="E33" t="s">
        <v>109</v>
      </c>
      <c r="F33" t="s">
        <v>110</v>
      </c>
      <c r="G33">
        <v>6539</v>
      </c>
      <c r="H33">
        <v>38</v>
      </c>
      <c r="I33">
        <v>1420</v>
      </c>
      <c r="J33" t="s">
        <v>66</v>
      </c>
      <c r="K33">
        <v>2025</v>
      </c>
    </row>
    <row r="34" spans="1:11" ht="15.75" customHeight="1">
      <c r="A34" t="s">
        <v>111</v>
      </c>
      <c r="B34" t="s">
        <v>72</v>
      </c>
      <c r="C34" t="s">
        <v>51</v>
      </c>
      <c r="D34" t="s">
        <v>27</v>
      </c>
      <c r="E34" t="s">
        <v>112</v>
      </c>
      <c r="F34" t="s">
        <v>113</v>
      </c>
      <c r="G34">
        <v>47975</v>
      </c>
      <c r="H34">
        <v>82</v>
      </c>
      <c r="I34">
        <v>8223</v>
      </c>
      <c r="J34" t="s">
        <v>61</v>
      </c>
      <c r="K34">
        <v>2025</v>
      </c>
    </row>
    <row r="35" spans="1:11" ht="15.75" customHeight="1">
      <c r="A35" t="s">
        <v>114</v>
      </c>
      <c r="B35" t="s">
        <v>19</v>
      </c>
      <c r="C35" t="s">
        <v>45</v>
      </c>
      <c r="D35" t="s">
        <v>14</v>
      </c>
      <c r="E35" t="s">
        <v>73</v>
      </c>
      <c r="F35" t="s">
        <v>74</v>
      </c>
      <c r="G35">
        <v>24328</v>
      </c>
      <c r="H35">
        <v>14</v>
      </c>
      <c r="I35">
        <v>3195</v>
      </c>
      <c r="J35" t="s">
        <v>66</v>
      </c>
      <c r="K35">
        <v>2025</v>
      </c>
    </row>
    <row r="36" spans="1:11" ht="15.75" customHeight="1">
      <c r="A36" t="s">
        <v>115</v>
      </c>
      <c r="B36" t="s">
        <v>25</v>
      </c>
      <c r="C36" t="s">
        <v>45</v>
      </c>
      <c r="D36" t="s">
        <v>14</v>
      </c>
      <c r="E36" t="s">
        <v>21</v>
      </c>
      <c r="F36" t="s">
        <v>22</v>
      </c>
      <c r="G36">
        <v>41818</v>
      </c>
      <c r="H36">
        <v>86</v>
      </c>
      <c r="I36">
        <v>4863</v>
      </c>
      <c r="J36" t="s">
        <v>30</v>
      </c>
      <c r="K36">
        <v>2025</v>
      </c>
    </row>
    <row r="37" spans="1:11" ht="15.75" customHeight="1">
      <c r="A37" t="s">
        <v>116</v>
      </c>
      <c r="B37" t="s">
        <v>117</v>
      </c>
      <c r="C37" t="s">
        <v>51</v>
      </c>
      <c r="D37" t="s">
        <v>27</v>
      </c>
      <c r="E37" t="s">
        <v>28</v>
      </c>
      <c r="F37" t="s">
        <v>29</v>
      </c>
      <c r="G37">
        <v>6895</v>
      </c>
      <c r="H37">
        <v>27</v>
      </c>
      <c r="I37">
        <v>1093</v>
      </c>
      <c r="J37" t="s">
        <v>36</v>
      </c>
      <c r="K37">
        <v>2025</v>
      </c>
    </row>
    <row r="38" spans="1:11" ht="15.75" customHeight="1">
      <c r="A38" t="s">
        <v>71</v>
      </c>
      <c r="B38" t="s">
        <v>12</v>
      </c>
      <c r="C38" t="s">
        <v>45</v>
      </c>
      <c r="D38" t="s">
        <v>39</v>
      </c>
      <c r="E38" t="s">
        <v>82</v>
      </c>
      <c r="F38" t="s">
        <v>83</v>
      </c>
      <c r="G38">
        <v>28643</v>
      </c>
      <c r="H38">
        <v>61</v>
      </c>
      <c r="I38">
        <v>5006</v>
      </c>
      <c r="J38" t="s">
        <v>66</v>
      </c>
      <c r="K38">
        <v>2025</v>
      </c>
    </row>
    <row r="39" spans="1:11" ht="15.75" customHeight="1">
      <c r="A39" t="s">
        <v>118</v>
      </c>
      <c r="B39" t="s">
        <v>81</v>
      </c>
      <c r="C39" t="s">
        <v>45</v>
      </c>
      <c r="D39" t="s">
        <v>14</v>
      </c>
      <c r="E39" t="s">
        <v>107</v>
      </c>
      <c r="F39" t="s">
        <v>108</v>
      </c>
      <c r="G39">
        <v>37212</v>
      </c>
      <c r="H39">
        <v>6</v>
      </c>
      <c r="I39">
        <v>5304</v>
      </c>
      <c r="J39" t="s">
        <v>30</v>
      </c>
      <c r="K39">
        <v>2025</v>
      </c>
    </row>
    <row r="40" spans="1:11" ht="15.75" customHeight="1">
      <c r="A40" t="s">
        <v>119</v>
      </c>
      <c r="B40" t="s">
        <v>50</v>
      </c>
      <c r="C40" t="s">
        <v>13</v>
      </c>
      <c r="D40" t="s">
        <v>39</v>
      </c>
      <c r="E40" t="s">
        <v>95</v>
      </c>
      <c r="F40" t="s">
        <v>96</v>
      </c>
      <c r="G40">
        <v>1699</v>
      </c>
      <c r="H40">
        <v>97</v>
      </c>
      <c r="I40">
        <v>116</v>
      </c>
      <c r="J40" t="s">
        <v>78</v>
      </c>
      <c r="K40">
        <v>2025</v>
      </c>
    </row>
    <row r="41" spans="1:11" ht="15.75" customHeight="1">
      <c r="A41" t="s">
        <v>120</v>
      </c>
      <c r="B41" t="s">
        <v>72</v>
      </c>
      <c r="C41" t="s">
        <v>45</v>
      </c>
      <c r="D41" t="s">
        <v>39</v>
      </c>
      <c r="E41" t="s">
        <v>95</v>
      </c>
      <c r="F41" t="s">
        <v>96</v>
      </c>
      <c r="G41">
        <v>33745</v>
      </c>
      <c r="H41">
        <v>95</v>
      </c>
      <c r="I41">
        <v>8809</v>
      </c>
      <c r="J41" t="s">
        <v>105</v>
      </c>
      <c r="K41">
        <v>2025</v>
      </c>
    </row>
    <row r="42" spans="1:11" ht="15.75" customHeight="1">
      <c r="A42" t="s">
        <v>121</v>
      </c>
      <c r="B42" t="s">
        <v>12</v>
      </c>
      <c r="C42" t="s">
        <v>26</v>
      </c>
      <c r="D42" t="s">
        <v>14</v>
      </c>
      <c r="E42" t="s">
        <v>122</v>
      </c>
      <c r="F42" t="s">
        <v>123</v>
      </c>
      <c r="G42">
        <v>36777</v>
      </c>
      <c r="H42">
        <v>27</v>
      </c>
      <c r="I42">
        <v>4553</v>
      </c>
      <c r="J42" t="s">
        <v>53</v>
      </c>
      <c r="K42">
        <v>2025</v>
      </c>
    </row>
    <row r="43" spans="1:11" ht="15.75" customHeight="1">
      <c r="A43" t="s">
        <v>124</v>
      </c>
      <c r="B43" t="s">
        <v>38</v>
      </c>
      <c r="C43" t="s">
        <v>45</v>
      </c>
      <c r="D43" t="s">
        <v>27</v>
      </c>
      <c r="E43" t="s">
        <v>109</v>
      </c>
      <c r="F43" t="s">
        <v>110</v>
      </c>
      <c r="G43">
        <v>41111</v>
      </c>
      <c r="H43">
        <v>39</v>
      </c>
      <c r="I43">
        <v>5073</v>
      </c>
      <c r="J43" t="s">
        <v>17</v>
      </c>
      <c r="K43">
        <v>2025</v>
      </c>
    </row>
    <row r="44" spans="1:11" ht="15.75" customHeight="1">
      <c r="A44" t="s">
        <v>125</v>
      </c>
      <c r="B44" t="s">
        <v>126</v>
      </c>
      <c r="C44" t="s">
        <v>20</v>
      </c>
      <c r="D44" t="s">
        <v>14</v>
      </c>
      <c r="E44" t="s">
        <v>34</v>
      </c>
      <c r="F44" t="s">
        <v>35</v>
      </c>
      <c r="G44">
        <v>9716</v>
      </c>
      <c r="H44">
        <v>60</v>
      </c>
      <c r="I44">
        <v>1727</v>
      </c>
      <c r="J44" t="s">
        <v>61</v>
      </c>
      <c r="K44">
        <v>2025</v>
      </c>
    </row>
    <row r="45" spans="1:11" ht="15.75" customHeight="1">
      <c r="A45" t="s">
        <v>62</v>
      </c>
      <c r="B45" t="s">
        <v>127</v>
      </c>
      <c r="C45" t="s">
        <v>13</v>
      </c>
      <c r="D45" t="s">
        <v>39</v>
      </c>
      <c r="E45" t="s">
        <v>64</v>
      </c>
      <c r="F45" t="s">
        <v>65</v>
      </c>
      <c r="G45">
        <v>7655</v>
      </c>
      <c r="H45">
        <v>16</v>
      </c>
      <c r="I45">
        <v>479</v>
      </c>
      <c r="J45" t="s">
        <v>66</v>
      </c>
      <c r="K45">
        <v>2025</v>
      </c>
    </row>
    <row r="46" spans="1:11" ht="15.75" customHeight="1">
      <c r="A46" t="s">
        <v>128</v>
      </c>
      <c r="B46" t="s">
        <v>44</v>
      </c>
      <c r="C46" t="s">
        <v>26</v>
      </c>
      <c r="D46" t="s">
        <v>14</v>
      </c>
      <c r="E46" t="s">
        <v>15</v>
      </c>
      <c r="F46" t="s">
        <v>16</v>
      </c>
      <c r="G46">
        <v>54298</v>
      </c>
      <c r="H46">
        <v>25</v>
      </c>
      <c r="I46">
        <v>4819</v>
      </c>
      <c r="J46" t="s">
        <v>42</v>
      </c>
      <c r="K46">
        <v>2025</v>
      </c>
    </row>
    <row r="47" spans="1:11" ht="15.75" customHeight="1">
      <c r="A47" t="s">
        <v>129</v>
      </c>
      <c r="B47" t="s">
        <v>50</v>
      </c>
      <c r="C47" t="s">
        <v>51</v>
      </c>
      <c r="D47" t="s">
        <v>27</v>
      </c>
      <c r="E47" t="s">
        <v>130</v>
      </c>
      <c r="F47" t="s">
        <v>131</v>
      </c>
      <c r="G47">
        <v>54006</v>
      </c>
      <c r="H47">
        <v>54</v>
      </c>
      <c r="I47">
        <v>9951</v>
      </c>
      <c r="J47" t="s">
        <v>48</v>
      </c>
      <c r="K47">
        <v>2025</v>
      </c>
    </row>
    <row r="48" spans="1:11" ht="15.75" customHeight="1">
      <c r="A48" t="s">
        <v>132</v>
      </c>
      <c r="B48" t="s">
        <v>81</v>
      </c>
      <c r="C48" t="s">
        <v>13</v>
      </c>
      <c r="D48" t="s">
        <v>39</v>
      </c>
      <c r="E48" t="s">
        <v>89</v>
      </c>
      <c r="F48" t="s">
        <v>90</v>
      </c>
      <c r="G48">
        <v>22606</v>
      </c>
      <c r="H48">
        <v>68</v>
      </c>
      <c r="I48">
        <v>5888</v>
      </c>
      <c r="J48" t="s">
        <v>30</v>
      </c>
      <c r="K48">
        <v>2025</v>
      </c>
    </row>
    <row r="49" spans="1:11" ht="15.75" customHeight="1">
      <c r="A49" t="s">
        <v>133</v>
      </c>
      <c r="B49" t="s">
        <v>134</v>
      </c>
      <c r="C49" t="s">
        <v>20</v>
      </c>
      <c r="D49" t="s">
        <v>27</v>
      </c>
      <c r="E49" t="s">
        <v>86</v>
      </c>
      <c r="F49" t="s">
        <v>87</v>
      </c>
      <c r="G49">
        <v>29940</v>
      </c>
      <c r="H49">
        <v>30</v>
      </c>
      <c r="I49">
        <v>1804</v>
      </c>
      <c r="J49" t="s">
        <v>48</v>
      </c>
      <c r="K49">
        <v>2025</v>
      </c>
    </row>
    <row r="50" spans="1:11" ht="15.75" customHeight="1">
      <c r="A50" t="s">
        <v>135</v>
      </c>
      <c r="B50" t="s">
        <v>68</v>
      </c>
      <c r="C50" t="s">
        <v>33</v>
      </c>
      <c r="D50" t="s">
        <v>14</v>
      </c>
      <c r="E50" t="s">
        <v>21</v>
      </c>
      <c r="F50" t="s">
        <v>22</v>
      </c>
      <c r="G50">
        <v>6949</v>
      </c>
      <c r="H50">
        <v>23</v>
      </c>
      <c r="I50">
        <v>1091</v>
      </c>
      <c r="J50" t="s">
        <v>93</v>
      </c>
      <c r="K50">
        <v>2025</v>
      </c>
    </row>
    <row r="51" spans="1:11" ht="15.75" customHeight="1">
      <c r="A51" t="s">
        <v>136</v>
      </c>
      <c r="B51" t="s">
        <v>25</v>
      </c>
      <c r="C51" t="s">
        <v>26</v>
      </c>
      <c r="D51" t="s">
        <v>39</v>
      </c>
      <c r="E51" t="s">
        <v>89</v>
      </c>
      <c r="F51" t="s">
        <v>90</v>
      </c>
      <c r="G51">
        <v>50711</v>
      </c>
      <c r="H51">
        <v>89</v>
      </c>
      <c r="I51">
        <v>10905</v>
      </c>
      <c r="J51" t="s">
        <v>105</v>
      </c>
      <c r="K51">
        <v>2025</v>
      </c>
    </row>
    <row r="52" spans="1:11" ht="15.75" customHeight="1">
      <c r="A52" t="s">
        <v>137</v>
      </c>
      <c r="B52" t="s">
        <v>85</v>
      </c>
      <c r="C52" t="s">
        <v>13</v>
      </c>
      <c r="D52" t="s">
        <v>39</v>
      </c>
      <c r="E52" t="s">
        <v>89</v>
      </c>
      <c r="F52" t="s">
        <v>90</v>
      </c>
      <c r="G52">
        <v>57156</v>
      </c>
      <c r="H52">
        <v>67</v>
      </c>
      <c r="I52">
        <v>6397</v>
      </c>
      <c r="J52" t="s">
        <v>78</v>
      </c>
      <c r="K52">
        <v>2025</v>
      </c>
    </row>
    <row r="53" spans="1:11" ht="15.75" customHeight="1">
      <c r="A53" t="s">
        <v>132</v>
      </c>
      <c r="B53" t="s">
        <v>138</v>
      </c>
      <c r="C53" t="s">
        <v>51</v>
      </c>
      <c r="D53" t="s">
        <v>14</v>
      </c>
      <c r="E53" t="s">
        <v>73</v>
      </c>
      <c r="F53" t="s">
        <v>74</v>
      </c>
      <c r="G53">
        <v>45078</v>
      </c>
      <c r="H53">
        <v>94</v>
      </c>
      <c r="I53">
        <v>11894</v>
      </c>
      <c r="J53" t="s">
        <v>30</v>
      </c>
      <c r="K53">
        <v>2025</v>
      </c>
    </row>
    <row r="54" spans="1:11" ht="15.75" customHeight="1">
      <c r="A54" t="s">
        <v>139</v>
      </c>
      <c r="B54" t="s">
        <v>32</v>
      </c>
      <c r="C54" t="s">
        <v>26</v>
      </c>
      <c r="D54" t="s">
        <v>39</v>
      </c>
      <c r="E54" t="s">
        <v>64</v>
      </c>
      <c r="F54" t="s">
        <v>65</v>
      </c>
      <c r="G54">
        <v>27211</v>
      </c>
      <c r="H54">
        <v>33</v>
      </c>
      <c r="I54">
        <v>4521</v>
      </c>
      <c r="J54" t="s">
        <v>78</v>
      </c>
      <c r="K54">
        <v>2025</v>
      </c>
    </row>
    <row r="55" spans="1:11" ht="15.75" customHeight="1">
      <c r="A55" t="s">
        <v>140</v>
      </c>
      <c r="B55" t="s">
        <v>76</v>
      </c>
      <c r="C55" t="s">
        <v>26</v>
      </c>
      <c r="D55" t="s">
        <v>39</v>
      </c>
      <c r="E55" t="s">
        <v>69</v>
      </c>
      <c r="F55" t="s">
        <v>70</v>
      </c>
      <c r="G55">
        <v>32843</v>
      </c>
      <c r="H55">
        <v>34</v>
      </c>
      <c r="I55">
        <v>3784</v>
      </c>
      <c r="J55" t="s">
        <v>53</v>
      </c>
      <c r="K55">
        <v>2025</v>
      </c>
    </row>
    <row r="56" spans="1:11" ht="15.75" customHeight="1">
      <c r="A56" t="s">
        <v>141</v>
      </c>
      <c r="B56" t="s">
        <v>25</v>
      </c>
      <c r="C56" t="s">
        <v>20</v>
      </c>
      <c r="D56" t="s">
        <v>27</v>
      </c>
      <c r="E56" t="s">
        <v>46</v>
      </c>
      <c r="F56" t="s">
        <v>47</v>
      </c>
      <c r="G56">
        <v>17364</v>
      </c>
      <c r="H56">
        <v>4</v>
      </c>
      <c r="I56">
        <v>3541</v>
      </c>
      <c r="J56" t="s">
        <v>23</v>
      </c>
      <c r="K56">
        <v>2025</v>
      </c>
    </row>
    <row r="57" spans="1:11" ht="15.75" customHeight="1">
      <c r="A57" t="s">
        <v>142</v>
      </c>
      <c r="B57" t="s">
        <v>127</v>
      </c>
      <c r="C57" t="s">
        <v>45</v>
      </c>
      <c r="D57" t="s">
        <v>14</v>
      </c>
      <c r="E57" t="s">
        <v>34</v>
      </c>
      <c r="F57" t="s">
        <v>35</v>
      </c>
      <c r="G57">
        <v>7833</v>
      </c>
      <c r="H57">
        <v>35</v>
      </c>
      <c r="I57">
        <v>1651</v>
      </c>
      <c r="J57" t="s">
        <v>23</v>
      </c>
      <c r="K57">
        <v>2025</v>
      </c>
    </row>
    <row r="58" spans="1:11" ht="15.75" customHeight="1">
      <c r="A58" t="s">
        <v>143</v>
      </c>
      <c r="B58" t="s">
        <v>99</v>
      </c>
      <c r="C58" t="s">
        <v>20</v>
      </c>
      <c r="D58" t="s">
        <v>39</v>
      </c>
      <c r="E58" t="s">
        <v>95</v>
      </c>
      <c r="F58" t="s">
        <v>96</v>
      </c>
      <c r="G58">
        <v>41770</v>
      </c>
      <c r="H58">
        <v>65</v>
      </c>
      <c r="I58">
        <v>12125</v>
      </c>
      <c r="J58" t="s">
        <v>78</v>
      </c>
      <c r="K58">
        <v>2025</v>
      </c>
    </row>
    <row r="59" spans="1:11" ht="15.75" customHeight="1">
      <c r="A59" t="s">
        <v>118</v>
      </c>
      <c r="B59" t="s">
        <v>58</v>
      </c>
      <c r="C59" t="s">
        <v>33</v>
      </c>
      <c r="D59" t="s">
        <v>27</v>
      </c>
      <c r="E59" t="s">
        <v>112</v>
      </c>
      <c r="F59" t="s">
        <v>113</v>
      </c>
      <c r="G59">
        <v>13161</v>
      </c>
      <c r="H59">
        <v>35</v>
      </c>
      <c r="I59">
        <v>1765</v>
      </c>
      <c r="J59" t="s">
        <v>30</v>
      </c>
      <c r="K59">
        <v>2025</v>
      </c>
    </row>
    <row r="60" spans="1:11" ht="15.75" customHeight="1">
      <c r="A60" t="s">
        <v>144</v>
      </c>
      <c r="B60" t="s">
        <v>76</v>
      </c>
      <c r="C60" t="s">
        <v>26</v>
      </c>
      <c r="D60" t="s">
        <v>27</v>
      </c>
      <c r="E60" t="s">
        <v>130</v>
      </c>
      <c r="F60" t="s">
        <v>131</v>
      </c>
      <c r="G60">
        <v>58458</v>
      </c>
      <c r="H60">
        <v>7</v>
      </c>
      <c r="I60">
        <v>4649</v>
      </c>
      <c r="J60" t="s">
        <v>93</v>
      </c>
      <c r="K60">
        <v>2025</v>
      </c>
    </row>
    <row r="61" spans="1:11" ht="15.75" customHeight="1">
      <c r="A61" t="s">
        <v>145</v>
      </c>
      <c r="B61" t="s">
        <v>99</v>
      </c>
      <c r="C61" t="s">
        <v>13</v>
      </c>
      <c r="D61" t="s">
        <v>39</v>
      </c>
      <c r="E61" t="s">
        <v>59</v>
      </c>
      <c r="F61" t="s">
        <v>60</v>
      </c>
      <c r="G61">
        <v>34496</v>
      </c>
      <c r="H61">
        <v>21</v>
      </c>
      <c r="I61">
        <v>10069</v>
      </c>
      <c r="J61" t="s">
        <v>23</v>
      </c>
      <c r="K61">
        <v>2025</v>
      </c>
    </row>
    <row r="62" spans="1:11" ht="15.75" customHeight="1">
      <c r="A62" t="s">
        <v>146</v>
      </c>
      <c r="B62" t="s">
        <v>72</v>
      </c>
      <c r="C62" t="s">
        <v>45</v>
      </c>
      <c r="D62" t="s">
        <v>27</v>
      </c>
      <c r="E62" t="s">
        <v>130</v>
      </c>
      <c r="F62" t="s">
        <v>131</v>
      </c>
      <c r="G62">
        <v>21463</v>
      </c>
      <c r="H62">
        <v>36</v>
      </c>
      <c r="I62">
        <v>3069</v>
      </c>
      <c r="J62" t="s">
        <v>66</v>
      </c>
      <c r="K62">
        <v>2025</v>
      </c>
    </row>
    <row r="63" spans="1:11" ht="15.75" customHeight="1">
      <c r="A63" t="s">
        <v>147</v>
      </c>
      <c r="B63" t="s">
        <v>81</v>
      </c>
      <c r="C63" t="s">
        <v>13</v>
      </c>
      <c r="D63" t="s">
        <v>14</v>
      </c>
      <c r="E63" t="s">
        <v>122</v>
      </c>
      <c r="F63" t="s">
        <v>123</v>
      </c>
      <c r="G63">
        <v>6644</v>
      </c>
      <c r="H63">
        <v>23</v>
      </c>
      <c r="I63">
        <v>1585</v>
      </c>
      <c r="J63" t="s">
        <v>66</v>
      </c>
      <c r="K63">
        <v>2025</v>
      </c>
    </row>
    <row r="64" spans="1:11" ht="15.75" customHeight="1">
      <c r="A64" t="s">
        <v>133</v>
      </c>
      <c r="B64" t="s">
        <v>50</v>
      </c>
      <c r="C64" t="s">
        <v>45</v>
      </c>
      <c r="D64" t="s">
        <v>39</v>
      </c>
      <c r="E64" t="s">
        <v>82</v>
      </c>
      <c r="F64" t="s">
        <v>83</v>
      </c>
      <c r="G64">
        <v>1728</v>
      </c>
      <c r="H64">
        <v>86</v>
      </c>
      <c r="I64">
        <v>214</v>
      </c>
      <c r="J64" t="s">
        <v>48</v>
      </c>
      <c r="K64">
        <v>2025</v>
      </c>
    </row>
    <row r="65" spans="1:11" ht="15.75" customHeight="1">
      <c r="A65" t="s">
        <v>148</v>
      </c>
      <c r="B65" t="s">
        <v>81</v>
      </c>
      <c r="C65" t="s">
        <v>33</v>
      </c>
      <c r="D65" t="s">
        <v>14</v>
      </c>
      <c r="E65" t="s">
        <v>107</v>
      </c>
      <c r="F65" t="s">
        <v>108</v>
      </c>
      <c r="G65">
        <v>37939</v>
      </c>
      <c r="H65">
        <v>9</v>
      </c>
      <c r="I65">
        <v>4925</v>
      </c>
      <c r="J65" t="s">
        <v>61</v>
      </c>
      <c r="K65">
        <v>2025</v>
      </c>
    </row>
    <row r="66" spans="1:11" ht="15.75" customHeight="1">
      <c r="A66" t="s">
        <v>149</v>
      </c>
      <c r="B66" t="s">
        <v>63</v>
      </c>
      <c r="C66" t="s">
        <v>33</v>
      </c>
      <c r="D66" t="s">
        <v>27</v>
      </c>
      <c r="E66" t="s">
        <v>86</v>
      </c>
      <c r="F66" t="s">
        <v>87</v>
      </c>
      <c r="G66">
        <v>9335</v>
      </c>
      <c r="H66">
        <v>69</v>
      </c>
      <c r="I66">
        <v>1151</v>
      </c>
      <c r="J66" t="s">
        <v>93</v>
      </c>
      <c r="K66">
        <v>2025</v>
      </c>
    </row>
    <row r="67" spans="1:11" ht="15.75" customHeight="1">
      <c r="A67" t="s">
        <v>77</v>
      </c>
      <c r="B67" t="s">
        <v>19</v>
      </c>
      <c r="C67" t="s">
        <v>20</v>
      </c>
      <c r="D67" t="s">
        <v>39</v>
      </c>
      <c r="E67" t="s">
        <v>64</v>
      </c>
      <c r="F67" t="s">
        <v>65</v>
      </c>
      <c r="G67">
        <v>2167</v>
      </c>
      <c r="H67">
        <v>57</v>
      </c>
      <c r="I67">
        <v>169</v>
      </c>
      <c r="J67" t="s">
        <v>78</v>
      </c>
      <c r="K67">
        <v>2025</v>
      </c>
    </row>
    <row r="68" spans="1:11" ht="15.75" customHeight="1">
      <c r="A68" t="s">
        <v>150</v>
      </c>
      <c r="B68" t="s">
        <v>85</v>
      </c>
      <c r="C68" t="s">
        <v>26</v>
      </c>
      <c r="D68" t="s">
        <v>39</v>
      </c>
      <c r="E68" t="s">
        <v>59</v>
      </c>
      <c r="F68" t="s">
        <v>60</v>
      </c>
      <c r="G68">
        <v>24714</v>
      </c>
      <c r="H68">
        <v>87</v>
      </c>
      <c r="I68">
        <v>4608</v>
      </c>
      <c r="J68" t="s">
        <v>93</v>
      </c>
      <c r="K68">
        <v>2025</v>
      </c>
    </row>
    <row r="69" spans="1:11" ht="15.75" customHeight="1">
      <c r="A69" t="s">
        <v>151</v>
      </c>
      <c r="B69" t="s">
        <v>38</v>
      </c>
      <c r="C69" t="s">
        <v>33</v>
      </c>
      <c r="D69" t="s">
        <v>14</v>
      </c>
      <c r="E69" t="s">
        <v>34</v>
      </c>
      <c r="F69" t="s">
        <v>35</v>
      </c>
      <c r="G69">
        <v>36307</v>
      </c>
      <c r="H69">
        <v>17</v>
      </c>
      <c r="I69">
        <v>2733</v>
      </c>
      <c r="J69" t="s">
        <v>93</v>
      </c>
      <c r="K69">
        <v>2025</v>
      </c>
    </row>
    <row r="70" spans="1:11" ht="15.75" customHeight="1">
      <c r="A70" t="s">
        <v>152</v>
      </c>
      <c r="B70" t="s">
        <v>134</v>
      </c>
      <c r="C70" t="s">
        <v>13</v>
      </c>
      <c r="D70" t="s">
        <v>14</v>
      </c>
      <c r="E70" t="s">
        <v>122</v>
      </c>
      <c r="F70" t="s">
        <v>123</v>
      </c>
      <c r="G70">
        <v>28569</v>
      </c>
      <c r="H70">
        <v>27</v>
      </c>
      <c r="I70">
        <v>6472</v>
      </c>
      <c r="J70" t="s">
        <v>93</v>
      </c>
      <c r="K70">
        <v>2025</v>
      </c>
    </row>
    <row r="71" spans="1:11" ht="15.75" customHeight="1">
      <c r="A71" t="s">
        <v>153</v>
      </c>
      <c r="B71" t="s">
        <v>117</v>
      </c>
      <c r="C71" t="s">
        <v>13</v>
      </c>
      <c r="D71" t="s">
        <v>39</v>
      </c>
      <c r="E71" t="s">
        <v>95</v>
      </c>
      <c r="F71" t="s">
        <v>96</v>
      </c>
      <c r="G71">
        <v>14807</v>
      </c>
      <c r="H71">
        <v>65</v>
      </c>
      <c r="I71">
        <v>3999</v>
      </c>
      <c r="J71" t="s">
        <v>36</v>
      </c>
      <c r="K71">
        <v>2025</v>
      </c>
    </row>
    <row r="72" spans="1:11" ht="15.75" customHeight="1">
      <c r="A72" t="s">
        <v>154</v>
      </c>
      <c r="B72" t="s">
        <v>58</v>
      </c>
      <c r="C72" t="s">
        <v>45</v>
      </c>
      <c r="D72" t="s">
        <v>39</v>
      </c>
      <c r="E72" t="s">
        <v>69</v>
      </c>
      <c r="F72" t="s">
        <v>70</v>
      </c>
      <c r="G72">
        <v>36909</v>
      </c>
      <c r="H72">
        <v>31</v>
      </c>
      <c r="I72">
        <v>6289</v>
      </c>
      <c r="J72" t="s">
        <v>48</v>
      </c>
      <c r="K72">
        <v>2025</v>
      </c>
    </row>
    <row r="73" spans="1:11" ht="15.75" customHeight="1">
      <c r="A73" t="s">
        <v>155</v>
      </c>
      <c r="B73" t="s">
        <v>76</v>
      </c>
      <c r="C73" t="s">
        <v>20</v>
      </c>
      <c r="D73" t="s">
        <v>27</v>
      </c>
      <c r="E73" t="s">
        <v>86</v>
      </c>
      <c r="F73" t="s">
        <v>87</v>
      </c>
      <c r="G73">
        <v>29710</v>
      </c>
      <c r="H73">
        <v>67</v>
      </c>
      <c r="I73">
        <v>3369</v>
      </c>
      <c r="J73" t="s">
        <v>93</v>
      </c>
      <c r="K73">
        <v>2025</v>
      </c>
    </row>
    <row r="74" spans="1:11" ht="15.75" customHeight="1">
      <c r="A74" t="s">
        <v>156</v>
      </c>
      <c r="B74" t="s">
        <v>127</v>
      </c>
      <c r="C74" t="s">
        <v>51</v>
      </c>
      <c r="D74" t="s">
        <v>27</v>
      </c>
      <c r="E74" t="s">
        <v>55</v>
      </c>
      <c r="F74" t="s">
        <v>56</v>
      </c>
      <c r="G74">
        <v>14116</v>
      </c>
      <c r="H74">
        <v>39</v>
      </c>
      <c r="I74">
        <v>3338</v>
      </c>
      <c r="J74" t="s">
        <v>30</v>
      </c>
      <c r="K74">
        <v>2025</v>
      </c>
    </row>
    <row r="75" spans="1:11" ht="15.75" customHeight="1">
      <c r="A75" t="s">
        <v>125</v>
      </c>
      <c r="B75" t="s">
        <v>50</v>
      </c>
      <c r="C75" t="s">
        <v>51</v>
      </c>
      <c r="D75" t="s">
        <v>39</v>
      </c>
      <c r="E75" t="s">
        <v>64</v>
      </c>
      <c r="F75" t="s">
        <v>65</v>
      </c>
      <c r="G75">
        <v>18312</v>
      </c>
      <c r="H75">
        <v>38</v>
      </c>
      <c r="I75">
        <v>2913</v>
      </c>
      <c r="J75" t="s">
        <v>61</v>
      </c>
      <c r="K75">
        <v>2025</v>
      </c>
    </row>
    <row r="76" spans="1:11" ht="15.75" customHeight="1">
      <c r="A76" t="s">
        <v>157</v>
      </c>
      <c r="B76" t="s">
        <v>58</v>
      </c>
      <c r="C76" t="s">
        <v>13</v>
      </c>
      <c r="D76" t="s">
        <v>27</v>
      </c>
      <c r="E76" t="s">
        <v>55</v>
      </c>
      <c r="F76" t="s">
        <v>56</v>
      </c>
      <c r="G76">
        <v>28509</v>
      </c>
      <c r="H76">
        <v>85</v>
      </c>
      <c r="I76">
        <v>8502</v>
      </c>
      <c r="J76" t="s">
        <v>78</v>
      </c>
      <c r="K76">
        <v>2025</v>
      </c>
    </row>
    <row r="77" spans="1:11" ht="15.75" customHeight="1">
      <c r="A77" t="s">
        <v>158</v>
      </c>
      <c r="B77" t="s">
        <v>63</v>
      </c>
      <c r="C77" t="s">
        <v>20</v>
      </c>
      <c r="D77" t="s">
        <v>39</v>
      </c>
      <c r="E77" t="s">
        <v>64</v>
      </c>
      <c r="F77" t="s">
        <v>65</v>
      </c>
      <c r="G77">
        <v>49529</v>
      </c>
      <c r="H77">
        <v>47</v>
      </c>
      <c r="I77">
        <v>10269</v>
      </c>
      <c r="J77" t="s">
        <v>48</v>
      </c>
      <c r="K77">
        <v>2025</v>
      </c>
    </row>
    <row r="78" spans="1:11" ht="15.75" customHeight="1">
      <c r="A78" t="s">
        <v>159</v>
      </c>
      <c r="B78" t="s">
        <v>72</v>
      </c>
      <c r="C78" t="s">
        <v>45</v>
      </c>
      <c r="D78" t="s">
        <v>27</v>
      </c>
      <c r="E78" t="s">
        <v>86</v>
      </c>
      <c r="F78" t="s">
        <v>87</v>
      </c>
      <c r="G78">
        <v>8114</v>
      </c>
      <c r="H78">
        <v>12</v>
      </c>
      <c r="I78">
        <v>2350</v>
      </c>
      <c r="J78" t="s">
        <v>42</v>
      </c>
      <c r="K78">
        <v>2025</v>
      </c>
    </row>
    <row r="79" spans="1:11" ht="15.75" customHeight="1">
      <c r="A79" t="s">
        <v>160</v>
      </c>
      <c r="B79" t="s">
        <v>134</v>
      </c>
      <c r="C79" t="s">
        <v>33</v>
      </c>
      <c r="D79" t="s">
        <v>27</v>
      </c>
      <c r="E79" t="s">
        <v>55</v>
      </c>
      <c r="F79" t="s">
        <v>56</v>
      </c>
      <c r="G79">
        <v>37487</v>
      </c>
      <c r="H79">
        <v>58</v>
      </c>
      <c r="I79">
        <v>4024</v>
      </c>
      <c r="J79" t="s">
        <v>93</v>
      </c>
      <c r="K79">
        <v>2025</v>
      </c>
    </row>
    <row r="80" spans="1:11" ht="15.75" customHeight="1">
      <c r="A80" t="s">
        <v>161</v>
      </c>
      <c r="B80" t="s">
        <v>50</v>
      </c>
      <c r="C80" t="s">
        <v>33</v>
      </c>
      <c r="D80" t="s">
        <v>39</v>
      </c>
      <c r="E80" t="s">
        <v>89</v>
      </c>
      <c r="F80" t="s">
        <v>90</v>
      </c>
      <c r="G80">
        <v>56284</v>
      </c>
      <c r="H80">
        <v>84</v>
      </c>
      <c r="I80">
        <v>11295</v>
      </c>
      <c r="J80" t="s">
        <v>61</v>
      </c>
      <c r="K80">
        <v>2025</v>
      </c>
    </row>
    <row r="81" spans="1:11" ht="15.75" customHeight="1">
      <c r="A81" t="s">
        <v>52</v>
      </c>
      <c r="B81" t="s">
        <v>72</v>
      </c>
      <c r="C81" t="s">
        <v>51</v>
      </c>
      <c r="D81" t="s">
        <v>39</v>
      </c>
      <c r="E81" t="s">
        <v>95</v>
      </c>
      <c r="F81" t="s">
        <v>96</v>
      </c>
      <c r="G81">
        <v>57178</v>
      </c>
      <c r="H81">
        <v>69</v>
      </c>
      <c r="I81">
        <v>11627</v>
      </c>
      <c r="J81" t="s">
        <v>53</v>
      </c>
      <c r="K81">
        <v>2025</v>
      </c>
    </row>
    <row r="82" spans="1:11" ht="15.75" customHeight="1">
      <c r="A82" t="s">
        <v>162</v>
      </c>
      <c r="B82" t="s">
        <v>126</v>
      </c>
      <c r="C82" t="s">
        <v>51</v>
      </c>
      <c r="D82" t="s">
        <v>27</v>
      </c>
      <c r="E82" t="s">
        <v>46</v>
      </c>
      <c r="F82" t="s">
        <v>47</v>
      </c>
      <c r="G82">
        <v>38892</v>
      </c>
      <c r="H82">
        <v>33</v>
      </c>
      <c r="I82">
        <v>9505</v>
      </c>
      <c r="J82" t="s">
        <v>17</v>
      </c>
      <c r="K82">
        <v>2025</v>
      </c>
    </row>
    <row r="83" spans="1:11" ht="15.75" customHeight="1">
      <c r="A83" t="s">
        <v>163</v>
      </c>
      <c r="B83" t="s">
        <v>99</v>
      </c>
      <c r="C83" t="s">
        <v>45</v>
      </c>
      <c r="D83" t="s">
        <v>27</v>
      </c>
      <c r="E83" t="s">
        <v>86</v>
      </c>
      <c r="F83" t="s">
        <v>87</v>
      </c>
      <c r="G83">
        <v>5158</v>
      </c>
      <c r="H83">
        <v>89</v>
      </c>
      <c r="I83">
        <v>1508</v>
      </c>
      <c r="J83" t="s">
        <v>78</v>
      </c>
      <c r="K83">
        <v>2025</v>
      </c>
    </row>
    <row r="84" spans="1:11" ht="15.75" customHeight="1">
      <c r="A84" t="s">
        <v>164</v>
      </c>
      <c r="B84" t="s">
        <v>25</v>
      </c>
      <c r="C84" t="s">
        <v>13</v>
      </c>
      <c r="D84" t="s">
        <v>14</v>
      </c>
      <c r="E84" t="s">
        <v>107</v>
      </c>
      <c r="F84" t="s">
        <v>108</v>
      </c>
      <c r="G84">
        <v>41034</v>
      </c>
      <c r="H84">
        <v>1</v>
      </c>
      <c r="I84">
        <v>2191</v>
      </c>
      <c r="J84" t="s">
        <v>105</v>
      </c>
      <c r="K84">
        <v>2025</v>
      </c>
    </row>
    <row r="85" spans="1:11" ht="15.75" customHeight="1">
      <c r="A85" t="s">
        <v>165</v>
      </c>
      <c r="B85" t="s">
        <v>50</v>
      </c>
      <c r="C85" t="s">
        <v>33</v>
      </c>
      <c r="D85" t="s">
        <v>14</v>
      </c>
      <c r="E85" t="s">
        <v>122</v>
      </c>
      <c r="F85" t="s">
        <v>123</v>
      </c>
      <c r="G85">
        <v>39757</v>
      </c>
      <c r="H85">
        <v>3</v>
      </c>
      <c r="I85">
        <v>7508</v>
      </c>
      <c r="J85" t="s">
        <v>78</v>
      </c>
      <c r="K85">
        <v>2025</v>
      </c>
    </row>
    <row r="86" spans="1:11" ht="15.75" customHeight="1">
      <c r="A86" t="s">
        <v>155</v>
      </c>
      <c r="B86" t="s">
        <v>76</v>
      </c>
      <c r="C86" t="s">
        <v>13</v>
      </c>
      <c r="D86" t="s">
        <v>39</v>
      </c>
      <c r="E86" t="s">
        <v>95</v>
      </c>
      <c r="F86" t="s">
        <v>96</v>
      </c>
      <c r="G86">
        <v>14456</v>
      </c>
      <c r="H86">
        <v>85</v>
      </c>
      <c r="I86">
        <v>2351</v>
      </c>
      <c r="J86" t="s">
        <v>93</v>
      </c>
      <c r="K86">
        <v>2025</v>
      </c>
    </row>
    <row r="87" spans="1:11" ht="15.75" customHeight="1">
      <c r="A87" t="s">
        <v>166</v>
      </c>
      <c r="B87" t="s">
        <v>58</v>
      </c>
      <c r="C87" t="s">
        <v>20</v>
      </c>
      <c r="D87" t="s">
        <v>27</v>
      </c>
      <c r="E87" t="s">
        <v>109</v>
      </c>
      <c r="F87" t="s">
        <v>110</v>
      </c>
      <c r="G87">
        <v>38744</v>
      </c>
      <c r="H87">
        <v>32</v>
      </c>
      <c r="I87">
        <v>2391</v>
      </c>
      <c r="J87" t="s">
        <v>48</v>
      </c>
      <c r="K87">
        <v>2025</v>
      </c>
    </row>
    <row r="88" spans="1:11" ht="15.75" customHeight="1">
      <c r="A88" t="s">
        <v>167</v>
      </c>
      <c r="B88" t="s">
        <v>44</v>
      </c>
      <c r="C88" t="s">
        <v>26</v>
      </c>
      <c r="D88" t="s">
        <v>14</v>
      </c>
      <c r="E88" t="s">
        <v>34</v>
      </c>
      <c r="F88" t="s">
        <v>35</v>
      </c>
      <c r="G88">
        <v>50922</v>
      </c>
      <c r="H88">
        <v>50</v>
      </c>
      <c r="I88">
        <v>13394</v>
      </c>
      <c r="J88" t="s">
        <v>53</v>
      </c>
      <c r="K88">
        <v>2025</v>
      </c>
    </row>
    <row r="89" spans="1:11" ht="15.75" customHeight="1">
      <c r="A89" t="s">
        <v>168</v>
      </c>
      <c r="B89" t="s">
        <v>50</v>
      </c>
      <c r="C89" t="s">
        <v>13</v>
      </c>
      <c r="D89" t="s">
        <v>27</v>
      </c>
      <c r="E89" t="s">
        <v>55</v>
      </c>
      <c r="F89" t="s">
        <v>56</v>
      </c>
      <c r="G89">
        <v>2252</v>
      </c>
      <c r="H89">
        <v>85</v>
      </c>
      <c r="I89">
        <v>472</v>
      </c>
      <c r="J89" t="s">
        <v>42</v>
      </c>
      <c r="K89">
        <v>2025</v>
      </c>
    </row>
    <row r="90" spans="1:11" ht="15.75" customHeight="1">
      <c r="A90" t="s">
        <v>52</v>
      </c>
      <c r="B90" t="s">
        <v>44</v>
      </c>
      <c r="C90" t="s">
        <v>51</v>
      </c>
      <c r="D90" t="s">
        <v>14</v>
      </c>
      <c r="E90" t="s">
        <v>21</v>
      </c>
      <c r="F90" t="s">
        <v>22</v>
      </c>
      <c r="G90">
        <v>56393</v>
      </c>
      <c r="H90">
        <v>82</v>
      </c>
      <c r="I90">
        <v>8349</v>
      </c>
      <c r="J90" t="s">
        <v>53</v>
      </c>
      <c r="K90">
        <v>2025</v>
      </c>
    </row>
    <row r="91" spans="1:11" ht="15.75" customHeight="1">
      <c r="A91" t="s">
        <v>169</v>
      </c>
      <c r="B91" t="s">
        <v>127</v>
      </c>
      <c r="C91" t="s">
        <v>26</v>
      </c>
      <c r="D91" t="s">
        <v>14</v>
      </c>
      <c r="E91" t="s">
        <v>21</v>
      </c>
      <c r="F91" t="s">
        <v>22</v>
      </c>
      <c r="G91">
        <v>57800</v>
      </c>
      <c r="H91">
        <v>88</v>
      </c>
      <c r="I91">
        <v>16046</v>
      </c>
      <c r="J91" t="s">
        <v>61</v>
      </c>
      <c r="K91">
        <v>2025</v>
      </c>
    </row>
    <row r="92" spans="1:11" ht="15.75" customHeight="1">
      <c r="A92" t="s">
        <v>71</v>
      </c>
      <c r="B92" t="s">
        <v>63</v>
      </c>
      <c r="C92" t="s">
        <v>26</v>
      </c>
      <c r="D92" t="s">
        <v>27</v>
      </c>
      <c r="E92" t="s">
        <v>86</v>
      </c>
      <c r="F92" t="s">
        <v>87</v>
      </c>
      <c r="G92">
        <v>38660</v>
      </c>
      <c r="H92">
        <v>4</v>
      </c>
      <c r="I92">
        <v>6372</v>
      </c>
      <c r="J92" t="s">
        <v>66</v>
      </c>
      <c r="K92">
        <v>2025</v>
      </c>
    </row>
    <row r="93" spans="1:11" ht="15.75" customHeight="1">
      <c r="A93" t="s">
        <v>141</v>
      </c>
      <c r="B93" t="s">
        <v>127</v>
      </c>
      <c r="C93" t="s">
        <v>45</v>
      </c>
      <c r="D93" t="s">
        <v>39</v>
      </c>
      <c r="E93" t="s">
        <v>59</v>
      </c>
      <c r="F93" t="s">
        <v>60</v>
      </c>
      <c r="G93">
        <v>28169</v>
      </c>
      <c r="H93">
        <v>6</v>
      </c>
      <c r="I93">
        <v>4877</v>
      </c>
      <c r="J93" t="s">
        <v>23</v>
      </c>
      <c r="K93">
        <v>2025</v>
      </c>
    </row>
    <row r="94" spans="1:11" ht="15.75" customHeight="1">
      <c r="A94" t="s">
        <v>170</v>
      </c>
      <c r="B94" t="s">
        <v>99</v>
      </c>
      <c r="C94" t="s">
        <v>20</v>
      </c>
      <c r="D94" t="s">
        <v>39</v>
      </c>
      <c r="E94" t="s">
        <v>82</v>
      </c>
      <c r="F94" t="s">
        <v>83</v>
      </c>
      <c r="G94">
        <v>7254</v>
      </c>
      <c r="H94">
        <v>23</v>
      </c>
      <c r="I94">
        <v>594</v>
      </c>
      <c r="J94" t="s">
        <v>17</v>
      </c>
      <c r="K94">
        <v>2025</v>
      </c>
    </row>
    <row r="95" spans="1:11" ht="15.75" customHeight="1">
      <c r="A95" t="s">
        <v>145</v>
      </c>
      <c r="B95" t="s">
        <v>32</v>
      </c>
      <c r="C95" t="s">
        <v>51</v>
      </c>
      <c r="D95" t="s">
        <v>14</v>
      </c>
      <c r="E95" t="s">
        <v>21</v>
      </c>
      <c r="F95" t="s">
        <v>22</v>
      </c>
      <c r="G95">
        <v>46415</v>
      </c>
      <c r="H95">
        <v>4</v>
      </c>
      <c r="I95">
        <v>6331</v>
      </c>
      <c r="J95" t="s">
        <v>23</v>
      </c>
      <c r="K95">
        <v>2025</v>
      </c>
    </row>
    <row r="96" spans="1:11" ht="15.75" customHeight="1">
      <c r="A96" t="s">
        <v>155</v>
      </c>
      <c r="B96" t="s">
        <v>126</v>
      </c>
      <c r="C96" t="s">
        <v>20</v>
      </c>
      <c r="D96" t="s">
        <v>14</v>
      </c>
      <c r="E96" t="s">
        <v>21</v>
      </c>
      <c r="F96" t="s">
        <v>22</v>
      </c>
      <c r="G96">
        <v>24954</v>
      </c>
      <c r="H96">
        <v>21</v>
      </c>
      <c r="I96">
        <v>2301</v>
      </c>
      <c r="J96" t="s">
        <v>93</v>
      </c>
      <c r="K96">
        <v>2025</v>
      </c>
    </row>
    <row r="97" spans="1:11" ht="15.75" customHeight="1">
      <c r="A97" t="s">
        <v>71</v>
      </c>
      <c r="B97" t="s">
        <v>117</v>
      </c>
      <c r="C97" t="s">
        <v>51</v>
      </c>
      <c r="D97" t="s">
        <v>27</v>
      </c>
      <c r="E97" t="s">
        <v>130</v>
      </c>
      <c r="F97" t="s">
        <v>131</v>
      </c>
      <c r="G97">
        <v>40144</v>
      </c>
      <c r="H97">
        <v>12</v>
      </c>
      <c r="I97">
        <v>4077</v>
      </c>
      <c r="J97" t="s">
        <v>66</v>
      </c>
      <c r="K97">
        <v>2025</v>
      </c>
    </row>
    <row r="98" spans="1:11" ht="15.75" customHeight="1">
      <c r="A98" t="s">
        <v>171</v>
      </c>
      <c r="B98" t="s">
        <v>58</v>
      </c>
      <c r="C98" t="s">
        <v>51</v>
      </c>
      <c r="D98" t="s">
        <v>27</v>
      </c>
      <c r="E98" t="s">
        <v>109</v>
      </c>
      <c r="F98" t="s">
        <v>110</v>
      </c>
      <c r="G98">
        <v>24321</v>
      </c>
      <c r="H98">
        <v>47</v>
      </c>
      <c r="I98">
        <v>5033</v>
      </c>
      <c r="J98" t="s">
        <v>17</v>
      </c>
      <c r="K98">
        <v>2025</v>
      </c>
    </row>
    <row r="99" spans="1:11" ht="15.75" customHeight="1">
      <c r="A99" t="s">
        <v>172</v>
      </c>
      <c r="B99" t="s">
        <v>32</v>
      </c>
      <c r="C99" t="s">
        <v>20</v>
      </c>
      <c r="D99" t="s">
        <v>14</v>
      </c>
      <c r="E99" t="s">
        <v>122</v>
      </c>
      <c r="F99" t="s">
        <v>123</v>
      </c>
      <c r="G99">
        <v>14568</v>
      </c>
      <c r="H99">
        <v>8</v>
      </c>
      <c r="I99">
        <v>3453</v>
      </c>
      <c r="J99" t="s">
        <v>66</v>
      </c>
      <c r="K99">
        <v>2025</v>
      </c>
    </row>
    <row r="100" spans="1:11" ht="15.75" customHeight="1">
      <c r="A100" t="s">
        <v>173</v>
      </c>
      <c r="B100" t="s">
        <v>138</v>
      </c>
      <c r="C100" t="s">
        <v>51</v>
      </c>
      <c r="D100" t="s">
        <v>39</v>
      </c>
      <c r="E100" t="s">
        <v>64</v>
      </c>
      <c r="F100" t="s">
        <v>65</v>
      </c>
      <c r="G100">
        <v>3125</v>
      </c>
      <c r="H100">
        <v>88</v>
      </c>
      <c r="I100">
        <v>719</v>
      </c>
      <c r="J100" t="s">
        <v>93</v>
      </c>
      <c r="K100">
        <v>2025</v>
      </c>
    </row>
    <row r="101" spans="1:11" ht="15.75" customHeight="1">
      <c r="A101" t="s">
        <v>174</v>
      </c>
      <c r="B101" t="s">
        <v>63</v>
      </c>
      <c r="C101" t="s">
        <v>20</v>
      </c>
      <c r="D101" t="s">
        <v>27</v>
      </c>
      <c r="E101" t="s">
        <v>28</v>
      </c>
      <c r="F101" t="s">
        <v>29</v>
      </c>
      <c r="G101">
        <v>19030</v>
      </c>
      <c r="H101">
        <v>23</v>
      </c>
      <c r="I101">
        <v>3385</v>
      </c>
      <c r="J101" t="s">
        <v>42</v>
      </c>
      <c r="K101">
        <v>2025</v>
      </c>
    </row>
    <row r="102" spans="1:11" ht="15.75" customHeight="1">
      <c r="A102" t="s">
        <v>175</v>
      </c>
      <c r="B102" t="s">
        <v>126</v>
      </c>
      <c r="C102" t="s">
        <v>13</v>
      </c>
      <c r="D102" t="s">
        <v>14</v>
      </c>
      <c r="E102" t="s">
        <v>15</v>
      </c>
      <c r="F102" t="s">
        <v>16</v>
      </c>
      <c r="G102">
        <v>40650</v>
      </c>
      <c r="H102">
        <v>15</v>
      </c>
      <c r="I102">
        <v>3098</v>
      </c>
      <c r="J102" t="s">
        <v>93</v>
      </c>
      <c r="K102">
        <v>2025</v>
      </c>
    </row>
    <row r="103" spans="1:11" ht="15.75" customHeight="1">
      <c r="A103" t="s">
        <v>159</v>
      </c>
      <c r="B103" t="s">
        <v>76</v>
      </c>
      <c r="C103" t="s">
        <v>33</v>
      </c>
      <c r="D103" t="s">
        <v>14</v>
      </c>
      <c r="E103" t="s">
        <v>73</v>
      </c>
      <c r="F103" t="s">
        <v>74</v>
      </c>
      <c r="G103">
        <v>51448</v>
      </c>
      <c r="H103">
        <v>86</v>
      </c>
      <c r="I103">
        <v>6784</v>
      </c>
      <c r="J103" t="s">
        <v>42</v>
      </c>
      <c r="K103">
        <v>2025</v>
      </c>
    </row>
    <row r="104" spans="1:11" ht="15.75" customHeight="1">
      <c r="A104" t="s">
        <v>176</v>
      </c>
      <c r="B104" t="s">
        <v>127</v>
      </c>
      <c r="C104" t="s">
        <v>13</v>
      </c>
      <c r="D104" t="s">
        <v>39</v>
      </c>
      <c r="E104" t="s">
        <v>89</v>
      </c>
      <c r="F104" t="s">
        <v>90</v>
      </c>
      <c r="G104">
        <v>8561</v>
      </c>
      <c r="H104">
        <v>67</v>
      </c>
      <c r="I104">
        <v>1816</v>
      </c>
      <c r="J104" t="s">
        <v>61</v>
      </c>
      <c r="K104">
        <v>2025</v>
      </c>
    </row>
    <row r="105" spans="1:11" ht="15.75" customHeight="1">
      <c r="A105" t="s">
        <v>79</v>
      </c>
      <c r="B105" t="s">
        <v>12</v>
      </c>
      <c r="C105" t="s">
        <v>33</v>
      </c>
      <c r="D105" t="s">
        <v>27</v>
      </c>
      <c r="E105" t="s">
        <v>86</v>
      </c>
      <c r="F105" t="s">
        <v>87</v>
      </c>
      <c r="G105">
        <v>13910</v>
      </c>
      <c r="H105">
        <v>8</v>
      </c>
      <c r="I105">
        <v>2735</v>
      </c>
      <c r="J105" t="s">
        <v>53</v>
      </c>
      <c r="K105">
        <v>2025</v>
      </c>
    </row>
    <row r="106" spans="1:11" ht="15.75" customHeight="1">
      <c r="A106" t="s">
        <v>177</v>
      </c>
      <c r="B106" t="s">
        <v>68</v>
      </c>
      <c r="C106" t="s">
        <v>45</v>
      </c>
      <c r="D106" t="s">
        <v>14</v>
      </c>
      <c r="E106" t="s">
        <v>34</v>
      </c>
      <c r="F106" t="s">
        <v>35</v>
      </c>
      <c r="G106">
        <v>55553</v>
      </c>
      <c r="H106">
        <v>64</v>
      </c>
      <c r="I106">
        <v>10704</v>
      </c>
      <c r="J106" t="s">
        <v>53</v>
      </c>
      <c r="K106">
        <v>2025</v>
      </c>
    </row>
    <row r="107" spans="1:11" ht="15.75" customHeight="1">
      <c r="A107" t="s">
        <v>161</v>
      </c>
      <c r="B107" t="s">
        <v>68</v>
      </c>
      <c r="C107" t="s">
        <v>51</v>
      </c>
      <c r="D107" t="s">
        <v>14</v>
      </c>
      <c r="E107" t="s">
        <v>73</v>
      </c>
      <c r="F107" t="s">
        <v>74</v>
      </c>
      <c r="G107">
        <v>51612</v>
      </c>
      <c r="H107">
        <v>22</v>
      </c>
      <c r="I107">
        <v>5488</v>
      </c>
      <c r="J107" t="s">
        <v>61</v>
      </c>
      <c r="K107">
        <v>2025</v>
      </c>
    </row>
    <row r="108" spans="1:11" ht="15.75" customHeight="1">
      <c r="A108" t="s">
        <v>178</v>
      </c>
      <c r="B108" t="s">
        <v>99</v>
      </c>
      <c r="C108" t="s">
        <v>33</v>
      </c>
      <c r="D108" t="s">
        <v>27</v>
      </c>
      <c r="E108" t="s">
        <v>86</v>
      </c>
      <c r="F108" t="s">
        <v>87</v>
      </c>
      <c r="G108">
        <v>59504</v>
      </c>
      <c r="H108">
        <v>3</v>
      </c>
      <c r="I108">
        <v>10777</v>
      </c>
      <c r="J108" t="s">
        <v>23</v>
      </c>
      <c r="K108">
        <v>2025</v>
      </c>
    </row>
    <row r="109" spans="1:11" ht="15.75" customHeight="1">
      <c r="A109" t="s">
        <v>179</v>
      </c>
      <c r="B109" t="s">
        <v>44</v>
      </c>
      <c r="C109" t="s">
        <v>51</v>
      </c>
      <c r="D109" t="s">
        <v>39</v>
      </c>
      <c r="E109" t="s">
        <v>64</v>
      </c>
      <c r="F109" t="s">
        <v>65</v>
      </c>
      <c r="G109">
        <v>58347</v>
      </c>
      <c r="H109">
        <v>79</v>
      </c>
      <c r="I109">
        <v>14835</v>
      </c>
      <c r="J109" t="s">
        <v>48</v>
      </c>
      <c r="K109">
        <v>2025</v>
      </c>
    </row>
    <row r="110" spans="1:11" ht="15.75" customHeight="1">
      <c r="A110" t="s">
        <v>180</v>
      </c>
      <c r="B110" t="s">
        <v>63</v>
      </c>
      <c r="C110" t="s">
        <v>51</v>
      </c>
      <c r="D110" t="s">
        <v>39</v>
      </c>
      <c r="E110" t="s">
        <v>82</v>
      </c>
      <c r="F110" t="s">
        <v>83</v>
      </c>
      <c r="G110">
        <v>1846</v>
      </c>
      <c r="H110">
        <v>75</v>
      </c>
      <c r="I110">
        <v>356</v>
      </c>
      <c r="J110" t="s">
        <v>61</v>
      </c>
      <c r="K110">
        <v>2025</v>
      </c>
    </row>
    <row r="111" spans="1:11" ht="15.75" customHeight="1">
      <c r="A111" t="s">
        <v>181</v>
      </c>
      <c r="B111" t="s">
        <v>68</v>
      </c>
      <c r="C111" t="s">
        <v>33</v>
      </c>
      <c r="D111" t="s">
        <v>14</v>
      </c>
      <c r="E111" t="s">
        <v>73</v>
      </c>
      <c r="F111" t="s">
        <v>74</v>
      </c>
      <c r="G111">
        <v>43101</v>
      </c>
      <c r="H111">
        <v>68</v>
      </c>
      <c r="I111">
        <v>6739</v>
      </c>
      <c r="J111" t="s">
        <v>53</v>
      </c>
      <c r="K111">
        <v>2025</v>
      </c>
    </row>
    <row r="112" spans="1:11" ht="15.75" customHeight="1">
      <c r="A112" t="s">
        <v>172</v>
      </c>
      <c r="B112" t="s">
        <v>81</v>
      </c>
      <c r="C112" t="s">
        <v>45</v>
      </c>
      <c r="D112" t="s">
        <v>39</v>
      </c>
      <c r="E112" t="s">
        <v>64</v>
      </c>
      <c r="F112" t="s">
        <v>65</v>
      </c>
      <c r="G112">
        <v>13941</v>
      </c>
      <c r="H112">
        <v>64</v>
      </c>
      <c r="I112">
        <v>1001</v>
      </c>
      <c r="J112" t="s">
        <v>66</v>
      </c>
      <c r="K112">
        <v>2025</v>
      </c>
    </row>
    <row r="113" spans="1:11" ht="15.75" customHeight="1">
      <c r="A113" t="s">
        <v>182</v>
      </c>
      <c r="B113" t="s">
        <v>58</v>
      </c>
      <c r="C113" t="s">
        <v>33</v>
      </c>
      <c r="D113" t="s">
        <v>27</v>
      </c>
      <c r="E113" t="s">
        <v>112</v>
      </c>
      <c r="F113" t="s">
        <v>113</v>
      </c>
      <c r="G113">
        <v>21128</v>
      </c>
      <c r="H113">
        <v>6</v>
      </c>
      <c r="I113">
        <v>2834</v>
      </c>
      <c r="J113" t="s">
        <v>17</v>
      </c>
      <c r="K113">
        <v>2025</v>
      </c>
    </row>
    <row r="114" spans="1:11" ht="15.75" customHeight="1">
      <c r="A114" t="s">
        <v>183</v>
      </c>
      <c r="B114" t="s">
        <v>81</v>
      </c>
      <c r="C114" t="s">
        <v>26</v>
      </c>
      <c r="D114" t="s">
        <v>27</v>
      </c>
      <c r="E114" t="s">
        <v>130</v>
      </c>
      <c r="F114" t="s">
        <v>131</v>
      </c>
      <c r="G114">
        <v>6287</v>
      </c>
      <c r="H114">
        <v>2</v>
      </c>
      <c r="I114">
        <v>452</v>
      </c>
      <c r="J114" t="s">
        <v>105</v>
      </c>
      <c r="K114">
        <v>2025</v>
      </c>
    </row>
    <row r="115" spans="1:11" ht="15.75" customHeight="1">
      <c r="A115" t="s">
        <v>184</v>
      </c>
      <c r="B115" t="s">
        <v>50</v>
      </c>
      <c r="C115" t="s">
        <v>45</v>
      </c>
      <c r="D115" t="s">
        <v>14</v>
      </c>
      <c r="E115" t="s">
        <v>73</v>
      </c>
      <c r="F115" t="s">
        <v>74</v>
      </c>
      <c r="G115">
        <v>28534</v>
      </c>
      <c r="H115">
        <v>24</v>
      </c>
      <c r="I115">
        <v>5750</v>
      </c>
      <c r="J115" t="s">
        <v>61</v>
      </c>
      <c r="K115">
        <v>2025</v>
      </c>
    </row>
    <row r="116" spans="1:11" ht="15.75" customHeight="1">
      <c r="A116" t="s">
        <v>185</v>
      </c>
      <c r="B116" t="s">
        <v>68</v>
      </c>
      <c r="C116" t="s">
        <v>45</v>
      </c>
      <c r="D116" t="s">
        <v>14</v>
      </c>
      <c r="E116" t="s">
        <v>122</v>
      </c>
      <c r="F116" t="s">
        <v>123</v>
      </c>
      <c r="G116">
        <v>43929</v>
      </c>
      <c r="H116">
        <v>78</v>
      </c>
      <c r="I116">
        <v>12442</v>
      </c>
      <c r="J116" t="s">
        <v>30</v>
      </c>
      <c r="K116">
        <v>2025</v>
      </c>
    </row>
    <row r="117" spans="1:11" ht="15.75" customHeight="1">
      <c r="A117" t="s">
        <v>186</v>
      </c>
      <c r="B117" t="s">
        <v>81</v>
      </c>
      <c r="C117" t="s">
        <v>26</v>
      </c>
      <c r="D117" t="s">
        <v>14</v>
      </c>
      <c r="E117" t="s">
        <v>107</v>
      </c>
      <c r="F117" t="s">
        <v>108</v>
      </c>
      <c r="G117">
        <v>52712</v>
      </c>
      <c r="H117">
        <v>40</v>
      </c>
      <c r="I117">
        <v>12144</v>
      </c>
      <c r="J117" t="s">
        <v>36</v>
      </c>
      <c r="K117">
        <v>2025</v>
      </c>
    </row>
    <row r="118" spans="1:11" ht="15.75" customHeight="1">
      <c r="A118" t="s">
        <v>187</v>
      </c>
      <c r="B118" t="s">
        <v>68</v>
      </c>
      <c r="C118" t="s">
        <v>45</v>
      </c>
      <c r="D118" t="s">
        <v>39</v>
      </c>
      <c r="E118" t="s">
        <v>40</v>
      </c>
      <c r="F118" t="s">
        <v>41</v>
      </c>
      <c r="G118">
        <v>22204</v>
      </c>
      <c r="H118">
        <v>37</v>
      </c>
      <c r="I118">
        <v>5631</v>
      </c>
      <c r="J118" t="s">
        <v>30</v>
      </c>
      <c r="K118">
        <v>2025</v>
      </c>
    </row>
    <row r="119" spans="1:11" ht="15.75" customHeight="1">
      <c r="A119" t="s">
        <v>188</v>
      </c>
      <c r="B119" t="s">
        <v>19</v>
      </c>
      <c r="C119" t="s">
        <v>26</v>
      </c>
      <c r="D119" t="s">
        <v>14</v>
      </c>
      <c r="E119" t="s">
        <v>122</v>
      </c>
      <c r="F119" t="s">
        <v>123</v>
      </c>
      <c r="G119">
        <v>18449</v>
      </c>
      <c r="H119">
        <v>89</v>
      </c>
      <c r="I119">
        <v>4072</v>
      </c>
      <c r="J119" t="s">
        <v>61</v>
      </c>
      <c r="K119">
        <v>2025</v>
      </c>
    </row>
    <row r="120" spans="1:11" ht="15.75" customHeight="1">
      <c r="A120" t="s">
        <v>147</v>
      </c>
      <c r="B120" t="s">
        <v>117</v>
      </c>
      <c r="C120" t="s">
        <v>20</v>
      </c>
      <c r="D120" t="s">
        <v>14</v>
      </c>
      <c r="E120" t="s">
        <v>122</v>
      </c>
      <c r="F120" t="s">
        <v>123</v>
      </c>
      <c r="G120">
        <v>38438</v>
      </c>
      <c r="H120">
        <v>15</v>
      </c>
      <c r="I120">
        <v>7471</v>
      </c>
      <c r="J120" t="s">
        <v>66</v>
      </c>
      <c r="K120">
        <v>2025</v>
      </c>
    </row>
    <row r="121" spans="1:11" ht="15.75" customHeight="1">
      <c r="A121" t="s">
        <v>189</v>
      </c>
      <c r="B121" t="s">
        <v>138</v>
      </c>
      <c r="C121" t="s">
        <v>26</v>
      </c>
      <c r="D121" t="s">
        <v>39</v>
      </c>
      <c r="E121" t="s">
        <v>89</v>
      </c>
      <c r="F121" t="s">
        <v>90</v>
      </c>
      <c r="G121">
        <v>27727</v>
      </c>
      <c r="H121">
        <v>51</v>
      </c>
      <c r="I121">
        <v>5149</v>
      </c>
      <c r="J121" t="s">
        <v>78</v>
      </c>
      <c r="K121">
        <v>2025</v>
      </c>
    </row>
    <row r="122" spans="1:11" ht="15.75" customHeight="1">
      <c r="A122" t="s">
        <v>153</v>
      </c>
      <c r="B122" t="s">
        <v>85</v>
      </c>
      <c r="C122" t="s">
        <v>20</v>
      </c>
      <c r="D122" t="s">
        <v>27</v>
      </c>
      <c r="E122" t="s">
        <v>28</v>
      </c>
      <c r="F122" t="s">
        <v>29</v>
      </c>
      <c r="G122">
        <v>32273</v>
      </c>
      <c r="H122">
        <v>64</v>
      </c>
      <c r="I122">
        <v>2958</v>
      </c>
      <c r="J122" t="s">
        <v>36</v>
      </c>
      <c r="K122">
        <v>2025</v>
      </c>
    </row>
    <row r="123" spans="1:11" ht="15.75" customHeight="1">
      <c r="A123" t="s">
        <v>190</v>
      </c>
      <c r="B123" t="s">
        <v>127</v>
      </c>
      <c r="C123" t="s">
        <v>45</v>
      </c>
      <c r="D123" t="s">
        <v>14</v>
      </c>
      <c r="E123" t="s">
        <v>73</v>
      </c>
      <c r="F123" t="s">
        <v>74</v>
      </c>
      <c r="G123">
        <v>34187</v>
      </c>
      <c r="H123">
        <v>29</v>
      </c>
      <c r="I123">
        <v>3005</v>
      </c>
      <c r="J123" t="s">
        <v>42</v>
      </c>
      <c r="K123">
        <v>2025</v>
      </c>
    </row>
    <row r="124" spans="1:11" ht="15.75" customHeight="1">
      <c r="A124" t="s">
        <v>191</v>
      </c>
      <c r="B124" t="s">
        <v>25</v>
      </c>
      <c r="C124" t="s">
        <v>13</v>
      </c>
      <c r="D124" t="s">
        <v>39</v>
      </c>
      <c r="E124" t="s">
        <v>95</v>
      </c>
      <c r="F124" t="s">
        <v>96</v>
      </c>
      <c r="G124">
        <v>33265</v>
      </c>
      <c r="H124">
        <v>5</v>
      </c>
      <c r="I124">
        <v>8954</v>
      </c>
      <c r="J124" t="s">
        <v>48</v>
      </c>
      <c r="K124">
        <v>2025</v>
      </c>
    </row>
    <row r="125" spans="1:11" ht="15.75" customHeight="1">
      <c r="A125" t="s">
        <v>192</v>
      </c>
      <c r="B125" t="s">
        <v>58</v>
      </c>
      <c r="C125" t="s">
        <v>51</v>
      </c>
      <c r="D125" t="s">
        <v>39</v>
      </c>
      <c r="E125" t="s">
        <v>82</v>
      </c>
      <c r="F125" t="s">
        <v>83</v>
      </c>
      <c r="G125">
        <v>7359</v>
      </c>
      <c r="H125">
        <v>52</v>
      </c>
      <c r="I125">
        <v>1098</v>
      </c>
      <c r="J125" t="s">
        <v>48</v>
      </c>
      <c r="K125">
        <v>2025</v>
      </c>
    </row>
    <row r="126" spans="1:11" ht="15.75" customHeight="1">
      <c r="A126" t="s">
        <v>193</v>
      </c>
      <c r="B126" t="s">
        <v>12</v>
      </c>
      <c r="C126" t="s">
        <v>13</v>
      </c>
      <c r="D126" t="s">
        <v>39</v>
      </c>
      <c r="E126" t="s">
        <v>95</v>
      </c>
      <c r="F126" t="s">
        <v>96</v>
      </c>
      <c r="G126">
        <v>4756</v>
      </c>
      <c r="H126">
        <v>2</v>
      </c>
      <c r="I126">
        <v>252</v>
      </c>
      <c r="J126" t="s">
        <v>48</v>
      </c>
      <c r="K126">
        <v>2025</v>
      </c>
    </row>
    <row r="127" spans="1:11" ht="15.75" customHeight="1">
      <c r="A127" t="s">
        <v>194</v>
      </c>
      <c r="B127" t="s">
        <v>19</v>
      </c>
      <c r="C127" t="s">
        <v>33</v>
      </c>
      <c r="D127" t="s">
        <v>14</v>
      </c>
      <c r="E127" t="s">
        <v>21</v>
      </c>
      <c r="F127" t="s">
        <v>22</v>
      </c>
      <c r="G127">
        <v>35884</v>
      </c>
      <c r="H127">
        <v>20</v>
      </c>
      <c r="I127">
        <v>3423</v>
      </c>
      <c r="J127" t="s">
        <v>93</v>
      </c>
      <c r="K127">
        <v>2025</v>
      </c>
    </row>
    <row r="128" spans="1:11" ht="15.75" customHeight="1">
      <c r="A128" t="s">
        <v>168</v>
      </c>
      <c r="B128" t="s">
        <v>134</v>
      </c>
      <c r="C128" t="s">
        <v>51</v>
      </c>
      <c r="D128" t="s">
        <v>27</v>
      </c>
      <c r="E128" t="s">
        <v>28</v>
      </c>
      <c r="F128" t="s">
        <v>29</v>
      </c>
      <c r="G128">
        <v>50497</v>
      </c>
      <c r="H128">
        <v>46</v>
      </c>
      <c r="I128">
        <v>10288</v>
      </c>
      <c r="J128" t="s">
        <v>42</v>
      </c>
      <c r="K128">
        <v>2025</v>
      </c>
    </row>
    <row r="129" spans="1:11" ht="15.75" customHeight="1">
      <c r="A129" t="s">
        <v>161</v>
      </c>
      <c r="B129" t="s">
        <v>126</v>
      </c>
      <c r="C129" t="s">
        <v>51</v>
      </c>
      <c r="D129" t="s">
        <v>27</v>
      </c>
      <c r="E129" t="s">
        <v>130</v>
      </c>
      <c r="F129" t="s">
        <v>131</v>
      </c>
      <c r="G129">
        <v>57942</v>
      </c>
      <c r="H129">
        <v>60</v>
      </c>
      <c r="I129">
        <v>11486</v>
      </c>
      <c r="J129" t="s">
        <v>61</v>
      </c>
      <c r="K129">
        <v>2025</v>
      </c>
    </row>
    <row r="130" spans="1:11" ht="15.75" customHeight="1">
      <c r="A130" t="s">
        <v>24</v>
      </c>
      <c r="B130" t="s">
        <v>50</v>
      </c>
      <c r="C130" t="s">
        <v>26</v>
      </c>
      <c r="D130" t="s">
        <v>39</v>
      </c>
      <c r="E130" t="s">
        <v>95</v>
      </c>
      <c r="F130" t="s">
        <v>96</v>
      </c>
      <c r="G130">
        <v>56176</v>
      </c>
      <c r="H130">
        <v>51</v>
      </c>
      <c r="I130">
        <v>13151</v>
      </c>
      <c r="J130" t="s">
        <v>30</v>
      </c>
      <c r="K130">
        <v>2025</v>
      </c>
    </row>
    <row r="131" spans="1:11" ht="15.75" customHeight="1">
      <c r="A131" t="s">
        <v>195</v>
      </c>
      <c r="B131" t="s">
        <v>25</v>
      </c>
      <c r="C131" t="s">
        <v>20</v>
      </c>
      <c r="D131" t="s">
        <v>39</v>
      </c>
      <c r="E131" t="s">
        <v>82</v>
      </c>
      <c r="F131" t="s">
        <v>83</v>
      </c>
      <c r="G131">
        <v>37185</v>
      </c>
      <c r="H131">
        <v>36</v>
      </c>
      <c r="I131">
        <v>3018</v>
      </c>
      <c r="J131" t="s">
        <v>78</v>
      </c>
      <c r="K131">
        <v>2025</v>
      </c>
    </row>
    <row r="132" spans="1:11" ht="15.75" customHeight="1">
      <c r="A132" t="s">
        <v>91</v>
      </c>
      <c r="B132" t="s">
        <v>63</v>
      </c>
      <c r="C132" t="s">
        <v>51</v>
      </c>
      <c r="D132" t="s">
        <v>39</v>
      </c>
      <c r="E132" t="s">
        <v>89</v>
      </c>
      <c r="F132" t="s">
        <v>90</v>
      </c>
      <c r="G132">
        <v>3708</v>
      </c>
      <c r="H132">
        <v>47</v>
      </c>
      <c r="I132">
        <v>236</v>
      </c>
      <c r="J132" t="s">
        <v>23</v>
      </c>
      <c r="K132">
        <v>2025</v>
      </c>
    </row>
    <row r="133" spans="1:11" ht="15.75" customHeight="1">
      <c r="A133" t="s">
        <v>196</v>
      </c>
      <c r="B133" t="s">
        <v>38</v>
      </c>
      <c r="C133" t="s">
        <v>33</v>
      </c>
      <c r="D133" t="s">
        <v>39</v>
      </c>
      <c r="E133" t="s">
        <v>59</v>
      </c>
      <c r="F133" t="s">
        <v>60</v>
      </c>
      <c r="G133">
        <v>50688</v>
      </c>
      <c r="H133">
        <v>90</v>
      </c>
      <c r="I133">
        <v>14190</v>
      </c>
      <c r="J133" t="s">
        <v>36</v>
      </c>
      <c r="K133">
        <v>2025</v>
      </c>
    </row>
    <row r="134" spans="1:11" ht="15.75" customHeight="1">
      <c r="A134" t="s">
        <v>94</v>
      </c>
      <c r="B134" t="s">
        <v>44</v>
      </c>
      <c r="C134" t="s">
        <v>26</v>
      </c>
      <c r="D134" t="s">
        <v>27</v>
      </c>
      <c r="E134" t="s">
        <v>86</v>
      </c>
      <c r="F134" t="s">
        <v>87</v>
      </c>
      <c r="G134">
        <v>7783</v>
      </c>
      <c r="H134">
        <v>43</v>
      </c>
      <c r="I134">
        <v>453</v>
      </c>
      <c r="J134" t="s">
        <v>17</v>
      </c>
      <c r="K134">
        <v>2025</v>
      </c>
    </row>
    <row r="135" spans="1:11" ht="15.75" customHeight="1">
      <c r="A135" t="s">
        <v>197</v>
      </c>
      <c r="B135" t="s">
        <v>85</v>
      </c>
      <c r="C135" t="s">
        <v>51</v>
      </c>
      <c r="D135" t="s">
        <v>14</v>
      </c>
      <c r="E135" t="s">
        <v>21</v>
      </c>
      <c r="F135" t="s">
        <v>22</v>
      </c>
      <c r="G135">
        <v>20956</v>
      </c>
      <c r="H135">
        <v>88</v>
      </c>
      <c r="I135">
        <v>2679</v>
      </c>
      <c r="J135" t="s">
        <v>48</v>
      </c>
      <c r="K135">
        <v>2025</v>
      </c>
    </row>
    <row r="136" spans="1:11" ht="15.75" customHeight="1">
      <c r="A136" t="s">
        <v>198</v>
      </c>
      <c r="B136" t="s">
        <v>126</v>
      </c>
      <c r="C136" t="s">
        <v>20</v>
      </c>
      <c r="D136" t="s">
        <v>39</v>
      </c>
      <c r="E136" t="s">
        <v>69</v>
      </c>
      <c r="F136" t="s">
        <v>70</v>
      </c>
      <c r="G136">
        <v>51118</v>
      </c>
      <c r="H136">
        <v>81</v>
      </c>
      <c r="I136">
        <v>14837</v>
      </c>
      <c r="J136" t="s">
        <v>78</v>
      </c>
      <c r="K136">
        <v>2025</v>
      </c>
    </row>
    <row r="137" spans="1:11" ht="15.75" customHeight="1">
      <c r="A137" t="s">
        <v>199</v>
      </c>
      <c r="B137" t="s">
        <v>134</v>
      </c>
      <c r="C137" t="s">
        <v>51</v>
      </c>
      <c r="D137" t="s">
        <v>39</v>
      </c>
      <c r="E137" t="s">
        <v>64</v>
      </c>
      <c r="F137" t="s">
        <v>65</v>
      </c>
      <c r="G137">
        <v>10984</v>
      </c>
      <c r="H137">
        <v>96</v>
      </c>
      <c r="I137">
        <v>733</v>
      </c>
      <c r="J137" t="s">
        <v>66</v>
      </c>
      <c r="K137">
        <v>2025</v>
      </c>
    </row>
    <row r="138" spans="1:11" ht="15.75" customHeight="1">
      <c r="A138" t="s">
        <v>200</v>
      </c>
      <c r="B138" t="s">
        <v>63</v>
      </c>
      <c r="C138" t="s">
        <v>20</v>
      </c>
      <c r="D138" t="s">
        <v>14</v>
      </c>
      <c r="E138" t="s">
        <v>21</v>
      </c>
      <c r="F138" t="s">
        <v>22</v>
      </c>
      <c r="G138">
        <v>43460</v>
      </c>
      <c r="H138">
        <v>30</v>
      </c>
      <c r="I138">
        <v>11262</v>
      </c>
      <c r="J138" t="s">
        <v>66</v>
      </c>
      <c r="K138">
        <v>2025</v>
      </c>
    </row>
    <row r="139" spans="1:11" ht="15.75" customHeight="1">
      <c r="A139" t="s">
        <v>201</v>
      </c>
      <c r="B139" t="s">
        <v>138</v>
      </c>
      <c r="C139" t="s">
        <v>45</v>
      </c>
      <c r="D139" t="s">
        <v>14</v>
      </c>
      <c r="E139" t="s">
        <v>34</v>
      </c>
      <c r="F139" t="s">
        <v>35</v>
      </c>
      <c r="G139">
        <v>29865</v>
      </c>
      <c r="H139">
        <v>92</v>
      </c>
      <c r="I139">
        <v>5085</v>
      </c>
      <c r="J139" t="s">
        <v>36</v>
      </c>
      <c r="K139">
        <v>2025</v>
      </c>
    </row>
    <row r="140" spans="1:11" ht="15.75" customHeight="1">
      <c r="A140" t="s">
        <v>62</v>
      </c>
      <c r="B140" t="s">
        <v>19</v>
      </c>
      <c r="C140" t="s">
        <v>20</v>
      </c>
      <c r="D140" t="s">
        <v>27</v>
      </c>
      <c r="E140" t="s">
        <v>28</v>
      </c>
      <c r="F140" t="s">
        <v>29</v>
      </c>
      <c r="G140">
        <v>13342</v>
      </c>
      <c r="H140">
        <v>3</v>
      </c>
      <c r="I140">
        <v>1912</v>
      </c>
      <c r="J140" t="s">
        <v>66</v>
      </c>
      <c r="K140">
        <v>2025</v>
      </c>
    </row>
    <row r="141" spans="1:11" ht="15.75" customHeight="1">
      <c r="A141" t="s">
        <v>202</v>
      </c>
      <c r="B141" t="s">
        <v>44</v>
      </c>
      <c r="C141" t="s">
        <v>51</v>
      </c>
      <c r="D141" t="s">
        <v>27</v>
      </c>
      <c r="E141" t="s">
        <v>112</v>
      </c>
      <c r="F141" t="s">
        <v>113</v>
      </c>
      <c r="G141">
        <v>48190</v>
      </c>
      <c r="H141">
        <v>55</v>
      </c>
      <c r="I141">
        <v>4290</v>
      </c>
      <c r="J141" t="s">
        <v>30</v>
      </c>
      <c r="K141">
        <v>2025</v>
      </c>
    </row>
    <row r="142" spans="1:11" ht="15.75" customHeight="1">
      <c r="A142" t="s">
        <v>203</v>
      </c>
      <c r="B142" t="s">
        <v>134</v>
      </c>
      <c r="C142" t="s">
        <v>13</v>
      </c>
      <c r="D142" t="s">
        <v>27</v>
      </c>
      <c r="E142" t="s">
        <v>86</v>
      </c>
      <c r="F142" t="s">
        <v>87</v>
      </c>
      <c r="G142">
        <v>11998</v>
      </c>
      <c r="H142">
        <v>67</v>
      </c>
      <c r="I142">
        <v>1293</v>
      </c>
      <c r="J142" t="s">
        <v>66</v>
      </c>
      <c r="K142">
        <v>2025</v>
      </c>
    </row>
    <row r="143" spans="1:11" ht="15.75" customHeight="1">
      <c r="A143" t="s">
        <v>119</v>
      </c>
      <c r="B143" t="s">
        <v>12</v>
      </c>
      <c r="C143" t="s">
        <v>51</v>
      </c>
      <c r="D143" t="s">
        <v>14</v>
      </c>
      <c r="E143" t="s">
        <v>73</v>
      </c>
      <c r="F143" t="s">
        <v>74</v>
      </c>
      <c r="G143">
        <v>40986</v>
      </c>
      <c r="H143">
        <v>97</v>
      </c>
      <c r="I143">
        <v>7753</v>
      </c>
      <c r="J143" t="s">
        <v>78</v>
      </c>
      <c r="K143">
        <v>2025</v>
      </c>
    </row>
    <row r="144" spans="1:11" ht="15.75" customHeight="1">
      <c r="A144" t="s">
        <v>204</v>
      </c>
      <c r="B144" t="s">
        <v>138</v>
      </c>
      <c r="C144" t="s">
        <v>51</v>
      </c>
      <c r="D144" t="s">
        <v>27</v>
      </c>
      <c r="E144" t="s">
        <v>112</v>
      </c>
      <c r="F144" t="s">
        <v>113</v>
      </c>
      <c r="G144">
        <v>54699</v>
      </c>
      <c r="H144">
        <v>37</v>
      </c>
      <c r="I144">
        <v>4664</v>
      </c>
      <c r="J144" t="s">
        <v>17</v>
      </c>
      <c r="K144">
        <v>2025</v>
      </c>
    </row>
    <row r="145" spans="1:11" ht="15.75" customHeight="1">
      <c r="A145" t="s">
        <v>205</v>
      </c>
      <c r="B145" t="s">
        <v>85</v>
      </c>
      <c r="C145" t="s">
        <v>26</v>
      </c>
      <c r="D145" t="s">
        <v>27</v>
      </c>
      <c r="E145" t="s">
        <v>86</v>
      </c>
      <c r="F145" t="s">
        <v>87</v>
      </c>
      <c r="G145">
        <v>17032</v>
      </c>
      <c r="H145">
        <v>23</v>
      </c>
      <c r="I145">
        <v>4462</v>
      </c>
      <c r="J145" t="s">
        <v>93</v>
      </c>
      <c r="K145">
        <v>2025</v>
      </c>
    </row>
    <row r="146" spans="1:11" ht="15.75" customHeight="1">
      <c r="A146" t="s">
        <v>104</v>
      </c>
      <c r="B146" t="s">
        <v>126</v>
      </c>
      <c r="C146" t="s">
        <v>33</v>
      </c>
      <c r="D146" t="s">
        <v>39</v>
      </c>
      <c r="E146" t="s">
        <v>40</v>
      </c>
      <c r="F146" t="s">
        <v>41</v>
      </c>
      <c r="G146">
        <v>24236</v>
      </c>
      <c r="H146">
        <v>20</v>
      </c>
      <c r="I146">
        <v>3246</v>
      </c>
      <c r="J146" t="s">
        <v>105</v>
      </c>
      <c r="K146">
        <v>2025</v>
      </c>
    </row>
    <row r="147" spans="1:11" ht="15.75" customHeight="1">
      <c r="A147" t="s">
        <v>206</v>
      </c>
      <c r="B147" t="s">
        <v>81</v>
      </c>
      <c r="C147" t="s">
        <v>20</v>
      </c>
      <c r="D147" t="s">
        <v>14</v>
      </c>
      <c r="E147" t="s">
        <v>34</v>
      </c>
      <c r="F147" t="s">
        <v>35</v>
      </c>
      <c r="G147">
        <v>34572</v>
      </c>
      <c r="H147">
        <v>38</v>
      </c>
      <c r="I147">
        <v>8416</v>
      </c>
      <c r="J147" t="s">
        <v>48</v>
      </c>
      <c r="K147">
        <v>2025</v>
      </c>
    </row>
    <row r="148" spans="1:11" ht="15.75" customHeight="1">
      <c r="A148" t="s">
        <v>196</v>
      </c>
      <c r="B148" t="s">
        <v>81</v>
      </c>
      <c r="C148" t="s">
        <v>13</v>
      </c>
      <c r="D148" t="s">
        <v>39</v>
      </c>
      <c r="E148" t="s">
        <v>59</v>
      </c>
      <c r="F148" t="s">
        <v>60</v>
      </c>
      <c r="G148">
        <v>44861</v>
      </c>
      <c r="H148">
        <v>24</v>
      </c>
      <c r="I148">
        <v>3524</v>
      </c>
      <c r="J148" t="s">
        <v>36</v>
      </c>
      <c r="K148">
        <v>2025</v>
      </c>
    </row>
    <row r="149" spans="1:11" ht="15.75" customHeight="1">
      <c r="A149" t="s">
        <v>207</v>
      </c>
      <c r="B149" t="s">
        <v>50</v>
      </c>
      <c r="C149" t="s">
        <v>51</v>
      </c>
      <c r="D149" t="s">
        <v>27</v>
      </c>
      <c r="E149" t="s">
        <v>112</v>
      </c>
      <c r="F149" t="s">
        <v>113</v>
      </c>
      <c r="G149">
        <v>28856</v>
      </c>
      <c r="H149">
        <v>14</v>
      </c>
      <c r="I149">
        <v>6793</v>
      </c>
      <c r="J149" t="s">
        <v>105</v>
      </c>
      <c r="K149">
        <v>2025</v>
      </c>
    </row>
    <row r="150" spans="1:11" ht="15.75" customHeight="1">
      <c r="A150" t="s">
        <v>208</v>
      </c>
      <c r="B150" t="s">
        <v>85</v>
      </c>
      <c r="C150" t="s">
        <v>45</v>
      </c>
      <c r="D150" t="s">
        <v>27</v>
      </c>
      <c r="E150" t="s">
        <v>130</v>
      </c>
      <c r="F150" t="s">
        <v>131</v>
      </c>
      <c r="G150">
        <v>18685</v>
      </c>
      <c r="H150">
        <v>4</v>
      </c>
      <c r="I150">
        <v>1552</v>
      </c>
      <c r="J150" t="s">
        <v>61</v>
      </c>
      <c r="K150">
        <v>2025</v>
      </c>
    </row>
    <row r="151" spans="1:11" ht="15.75" customHeight="1">
      <c r="A151" t="s">
        <v>209</v>
      </c>
      <c r="B151" t="s">
        <v>68</v>
      </c>
      <c r="C151" t="s">
        <v>26</v>
      </c>
      <c r="D151" t="s">
        <v>39</v>
      </c>
      <c r="E151" t="s">
        <v>95</v>
      </c>
      <c r="F151" t="s">
        <v>96</v>
      </c>
      <c r="G151">
        <v>32889</v>
      </c>
      <c r="H151">
        <v>85</v>
      </c>
      <c r="I151">
        <v>8346</v>
      </c>
      <c r="J151" t="s">
        <v>17</v>
      </c>
      <c r="K151">
        <v>2025</v>
      </c>
    </row>
    <row r="152" spans="1:11" ht="15.75" customHeight="1">
      <c r="A152" t="s">
        <v>210</v>
      </c>
      <c r="B152" t="s">
        <v>50</v>
      </c>
      <c r="C152" t="s">
        <v>26</v>
      </c>
      <c r="D152" t="s">
        <v>39</v>
      </c>
      <c r="E152" t="s">
        <v>82</v>
      </c>
      <c r="F152" t="s">
        <v>83</v>
      </c>
      <c r="G152">
        <v>57293</v>
      </c>
      <c r="H152">
        <v>76</v>
      </c>
      <c r="I152">
        <v>5821</v>
      </c>
      <c r="J152" t="s">
        <v>78</v>
      </c>
      <c r="K152">
        <v>2025</v>
      </c>
    </row>
    <row r="153" spans="1:11" ht="15.75" customHeight="1">
      <c r="A153" t="s">
        <v>11</v>
      </c>
      <c r="B153" t="s">
        <v>117</v>
      </c>
      <c r="C153" t="s">
        <v>13</v>
      </c>
      <c r="D153" t="s">
        <v>27</v>
      </c>
      <c r="E153" t="s">
        <v>28</v>
      </c>
      <c r="F153" t="s">
        <v>29</v>
      </c>
      <c r="G153">
        <v>58953</v>
      </c>
      <c r="H153">
        <v>12</v>
      </c>
      <c r="I153">
        <v>12278</v>
      </c>
      <c r="J153" t="s">
        <v>17</v>
      </c>
      <c r="K153">
        <v>2025</v>
      </c>
    </row>
    <row r="154" spans="1:11" ht="15.75" customHeight="1">
      <c r="A154" t="s">
        <v>172</v>
      </c>
      <c r="B154" t="s">
        <v>58</v>
      </c>
      <c r="C154" t="s">
        <v>26</v>
      </c>
      <c r="D154" t="s">
        <v>39</v>
      </c>
      <c r="E154" t="s">
        <v>69</v>
      </c>
      <c r="F154" t="s">
        <v>70</v>
      </c>
      <c r="G154">
        <v>36796</v>
      </c>
      <c r="H154">
        <v>92</v>
      </c>
      <c r="I154">
        <v>8931</v>
      </c>
      <c r="J154" t="s">
        <v>66</v>
      </c>
      <c r="K154">
        <v>2025</v>
      </c>
    </row>
    <row r="155" spans="1:11" ht="15.75" customHeight="1">
      <c r="A155" t="s">
        <v>211</v>
      </c>
      <c r="B155" t="s">
        <v>99</v>
      </c>
      <c r="C155" t="s">
        <v>33</v>
      </c>
      <c r="D155" t="s">
        <v>27</v>
      </c>
      <c r="E155" t="s">
        <v>46</v>
      </c>
      <c r="F155" t="s">
        <v>47</v>
      </c>
      <c r="G155">
        <v>22172</v>
      </c>
      <c r="H155">
        <v>36</v>
      </c>
      <c r="I155">
        <v>5382</v>
      </c>
      <c r="J155" t="s">
        <v>66</v>
      </c>
      <c r="K155">
        <v>2025</v>
      </c>
    </row>
    <row r="156" spans="1:11" ht="15.75" customHeight="1">
      <c r="A156" t="s">
        <v>212</v>
      </c>
      <c r="B156" t="s">
        <v>134</v>
      </c>
      <c r="C156" t="s">
        <v>20</v>
      </c>
      <c r="D156" t="s">
        <v>39</v>
      </c>
      <c r="E156" t="s">
        <v>95</v>
      </c>
      <c r="F156" t="s">
        <v>96</v>
      </c>
      <c r="G156">
        <v>26712</v>
      </c>
      <c r="H156">
        <v>59</v>
      </c>
      <c r="I156">
        <v>3319</v>
      </c>
      <c r="J156" t="s">
        <v>17</v>
      </c>
      <c r="K156">
        <v>2025</v>
      </c>
    </row>
    <row r="157" spans="1:11" ht="15.75" customHeight="1">
      <c r="A157" t="s">
        <v>213</v>
      </c>
      <c r="B157" t="s">
        <v>12</v>
      </c>
      <c r="C157" t="s">
        <v>26</v>
      </c>
      <c r="D157" t="s">
        <v>14</v>
      </c>
      <c r="E157" t="s">
        <v>122</v>
      </c>
      <c r="F157" t="s">
        <v>123</v>
      </c>
      <c r="G157">
        <v>30077</v>
      </c>
      <c r="H157">
        <v>69</v>
      </c>
      <c r="I157">
        <v>5141</v>
      </c>
      <c r="J157" t="s">
        <v>23</v>
      </c>
      <c r="K157">
        <v>2025</v>
      </c>
    </row>
    <row r="158" spans="1:11" ht="15.75" customHeight="1">
      <c r="A158" t="s">
        <v>196</v>
      </c>
      <c r="B158" t="s">
        <v>63</v>
      </c>
      <c r="C158" t="s">
        <v>33</v>
      </c>
      <c r="D158" t="s">
        <v>27</v>
      </c>
      <c r="E158" t="s">
        <v>55</v>
      </c>
      <c r="F158" t="s">
        <v>56</v>
      </c>
      <c r="G158">
        <v>16850</v>
      </c>
      <c r="H158">
        <v>81</v>
      </c>
      <c r="I158">
        <v>2933</v>
      </c>
      <c r="J158" t="s">
        <v>36</v>
      </c>
      <c r="K158">
        <v>2025</v>
      </c>
    </row>
    <row r="159" spans="1:11" ht="15.75" customHeight="1">
      <c r="A159" t="s">
        <v>144</v>
      </c>
      <c r="B159" t="s">
        <v>38</v>
      </c>
      <c r="C159" t="s">
        <v>26</v>
      </c>
      <c r="D159" t="s">
        <v>39</v>
      </c>
      <c r="E159" t="s">
        <v>40</v>
      </c>
      <c r="F159" t="s">
        <v>41</v>
      </c>
      <c r="G159">
        <v>2524</v>
      </c>
      <c r="H159">
        <v>73</v>
      </c>
      <c r="I159">
        <v>173</v>
      </c>
      <c r="J159" t="s">
        <v>93</v>
      </c>
      <c r="K159">
        <v>2025</v>
      </c>
    </row>
    <row r="160" spans="1:11" ht="15.75" customHeight="1">
      <c r="A160" t="s">
        <v>214</v>
      </c>
      <c r="B160" t="s">
        <v>99</v>
      </c>
      <c r="C160" t="s">
        <v>45</v>
      </c>
      <c r="D160" t="s">
        <v>39</v>
      </c>
      <c r="E160" t="s">
        <v>89</v>
      </c>
      <c r="F160" t="s">
        <v>90</v>
      </c>
      <c r="G160">
        <v>46080</v>
      </c>
      <c r="H160">
        <v>39</v>
      </c>
      <c r="I160">
        <v>3178</v>
      </c>
      <c r="J160" t="s">
        <v>23</v>
      </c>
      <c r="K160">
        <v>2025</v>
      </c>
    </row>
    <row r="161" spans="1:11" ht="15.75" customHeight="1">
      <c r="A161" t="s">
        <v>215</v>
      </c>
      <c r="B161" t="s">
        <v>81</v>
      </c>
      <c r="C161" t="s">
        <v>33</v>
      </c>
      <c r="D161" t="s">
        <v>27</v>
      </c>
      <c r="E161" t="s">
        <v>130</v>
      </c>
      <c r="F161" t="s">
        <v>131</v>
      </c>
      <c r="G161">
        <v>24393</v>
      </c>
      <c r="H161">
        <v>12</v>
      </c>
      <c r="I161">
        <v>3420</v>
      </c>
      <c r="J161" t="s">
        <v>36</v>
      </c>
      <c r="K161">
        <v>2025</v>
      </c>
    </row>
    <row r="162" spans="1:11" ht="15.75" customHeight="1">
      <c r="A162" t="s">
        <v>216</v>
      </c>
      <c r="B162" t="s">
        <v>50</v>
      </c>
      <c r="C162" t="s">
        <v>45</v>
      </c>
      <c r="D162" t="s">
        <v>14</v>
      </c>
      <c r="E162" t="s">
        <v>21</v>
      </c>
      <c r="F162" t="s">
        <v>22</v>
      </c>
      <c r="G162">
        <v>29470</v>
      </c>
      <c r="H162">
        <v>47</v>
      </c>
      <c r="I162">
        <v>2112</v>
      </c>
      <c r="J162" t="s">
        <v>93</v>
      </c>
      <c r="K162">
        <v>2025</v>
      </c>
    </row>
    <row r="163" spans="1:11" ht="15.75" customHeight="1">
      <c r="A163" t="s">
        <v>217</v>
      </c>
      <c r="B163" t="s">
        <v>68</v>
      </c>
      <c r="C163" t="s">
        <v>45</v>
      </c>
      <c r="D163" t="s">
        <v>14</v>
      </c>
      <c r="E163" t="s">
        <v>73</v>
      </c>
      <c r="F163" t="s">
        <v>74</v>
      </c>
      <c r="G163">
        <v>59053</v>
      </c>
      <c r="H163">
        <v>72</v>
      </c>
      <c r="I163">
        <v>6638</v>
      </c>
      <c r="J163" t="s">
        <v>53</v>
      </c>
      <c r="K163">
        <v>2025</v>
      </c>
    </row>
    <row r="164" spans="1:11" ht="15.75" customHeight="1">
      <c r="A164" t="s">
        <v>149</v>
      </c>
      <c r="B164" t="s">
        <v>38</v>
      </c>
      <c r="C164" t="s">
        <v>20</v>
      </c>
      <c r="D164" t="s">
        <v>39</v>
      </c>
      <c r="E164" t="s">
        <v>64</v>
      </c>
      <c r="F164" t="s">
        <v>65</v>
      </c>
      <c r="G164">
        <v>28935</v>
      </c>
      <c r="H164">
        <v>10</v>
      </c>
      <c r="I164">
        <v>5702</v>
      </c>
      <c r="J164" t="s">
        <v>93</v>
      </c>
      <c r="K164">
        <v>2025</v>
      </c>
    </row>
    <row r="165" spans="1:11" ht="15.75" customHeight="1">
      <c r="A165" t="s">
        <v>139</v>
      </c>
      <c r="B165" t="s">
        <v>85</v>
      </c>
      <c r="C165" t="s">
        <v>26</v>
      </c>
      <c r="D165" t="s">
        <v>39</v>
      </c>
      <c r="E165" t="s">
        <v>69</v>
      </c>
      <c r="F165" t="s">
        <v>70</v>
      </c>
      <c r="G165">
        <v>5232</v>
      </c>
      <c r="H165">
        <v>48</v>
      </c>
      <c r="I165">
        <v>412</v>
      </c>
      <c r="J165" t="s">
        <v>78</v>
      </c>
      <c r="K165">
        <v>2025</v>
      </c>
    </row>
    <row r="166" spans="1:11" ht="15.75" customHeight="1">
      <c r="A166" t="s">
        <v>174</v>
      </c>
      <c r="B166" t="s">
        <v>127</v>
      </c>
      <c r="C166" t="s">
        <v>26</v>
      </c>
      <c r="D166" t="s">
        <v>14</v>
      </c>
      <c r="E166" t="s">
        <v>73</v>
      </c>
      <c r="F166" t="s">
        <v>74</v>
      </c>
      <c r="G166">
        <v>38265</v>
      </c>
      <c r="H166">
        <v>59</v>
      </c>
      <c r="I166">
        <v>9842</v>
      </c>
      <c r="J166" t="s">
        <v>42</v>
      </c>
      <c r="K166">
        <v>2025</v>
      </c>
    </row>
    <row r="167" spans="1:11" ht="15.75" customHeight="1">
      <c r="A167" t="s">
        <v>75</v>
      </c>
      <c r="B167" t="s">
        <v>81</v>
      </c>
      <c r="C167" t="s">
        <v>20</v>
      </c>
      <c r="D167" t="s">
        <v>39</v>
      </c>
      <c r="E167" t="s">
        <v>82</v>
      </c>
      <c r="F167" t="s">
        <v>83</v>
      </c>
      <c r="G167">
        <v>14409</v>
      </c>
      <c r="H167">
        <v>3</v>
      </c>
      <c r="I167">
        <v>3228</v>
      </c>
      <c r="J167" t="s">
        <v>30</v>
      </c>
      <c r="K167">
        <v>2025</v>
      </c>
    </row>
    <row r="168" spans="1:11" ht="15.75" customHeight="1">
      <c r="A168" t="s">
        <v>218</v>
      </c>
      <c r="B168" t="s">
        <v>85</v>
      </c>
      <c r="C168" t="s">
        <v>33</v>
      </c>
      <c r="D168" t="s">
        <v>27</v>
      </c>
      <c r="E168" t="s">
        <v>86</v>
      </c>
      <c r="F168" t="s">
        <v>87</v>
      </c>
      <c r="G168">
        <v>45547</v>
      </c>
      <c r="H168">
        <v>93</v>
      </c>
      <c r="I168">
        <v>9811</v>
      </c>
      <c r="J168" t="s">
        <v>23</v>
      </c>
      <c r="K168">
        <v>2025</v>
      </c>
    </row>
    <row r="169" spans="1:11" ht="15.75" customHeight="1">
      <c r="A169" t="s">
        <v>219</v>
      </c>
      <c r="B169" t="s">
        <v>32</v>
      </c>
      <c r="C169" t="s">
        <v>45</v>
      </c>
      <c r="D169" t="s">
        <v>39</v>
      </c>
      <c r="E169" t="s">
        <v>59</v>
      </c>
      <c r="F169" t="s">
        <v>60</v>
      </c>
      <c r="G169">
        <v>16229</v>
      </c>
      <c r="H169">
        <v>66</v>
      </c>
      <c r="I169">
        <v>910</v>
      </c>
      <c r="J169" t="s">
        <v>93</v>
      </c>
      <c r="K169">
        <v>2025</v>
      </c>
    </row>
    <row r="170" spans="1:11" ht="15.75" customHeight="1">
      <c r="A170" t="s">
        <v>220</v>
      </c>
      <c r="B170" t="s">
        <v>58</v>
      </c>
      <c r="C170" t="s">
        <v>51</v>
      </c>
      <c r="D170" t="s">
        <v>27</v>
      </c>
      <c r="E170" t="s">
        <v>46</v>
      </c>
      <c r="F170" t="s">
        <v>47</v>
      </c>
      <c r="G170">
        <v>31586</v>
      </c>
      <c r="H170">
        <v>39</v>
      </c>
      <c r="I170">
        <v>1654</v>
      </c>
      <c r="J170" t="s">
        <v>105</v>
      </c>
      <c r="K170">
        <v>2025</v>
      </c>
    </row>
    <row r="171" spans="1:11" ht="15.75" customHeight="1">
      <c r="A171" t="s">
        <v>221</v>
      </c>
      <c r="B171" t="s">
        <v>81</v>
      </c>
      <c r="C171" t="s">
        <v>45</v>
      </c>
      <c r="D171" t="s">
        <v>39</v>
      </c>
      <c r="E171" t="s">
        <v>82</v>
      </c>
      <c r="F171" t="s">
        <v>83</v>
      </c>
      <c r="G171">
        <v>20895</v>
      </c>
      <c r="H171">
        <v>10</v>
      </c>
      <c r="I171">
        <v>1523</v>
      </c>
      <c r="J171" t="s">
        <v>61</v>
      </c>
      <c r="K171">
        <v>2025</v>
      </c>
    </row>
    <row r="172" spans="1:11" ht="15.75" customHeight="1">
      <c r="A172" t="s">
        <v>146</v>
      </c>
      <c r="B172" t="s">
        <v>25</v>
      </c>
      <c r="C172" t="s">
        <v>13</v>
      </c>
      <c r="D172" t="s">
        <v>14</v>
      </c>
      <c r="E172" t="s">
        <v>15</v>
      </c>
      <c r="F172" t="s">
        <v>16</v>
      </c>
      <c r="G172">
        <v>45460</v>
      </c>
      <c r="H172">
        <v>14</v>
      </c>
      <c r="I172">
        <v>5648</v>
      </c>
      <c r="J172" t="s">
        <v>66</v>
      </c>
      <c r="K172">
        <v>2025</v>
      </c>
    </row>
    <row r="173" spans="1:11" ht="15.75" customHeight="1">
      <c r="A173" t="s">
        <v>221</v>
      </c>
      <c r="B173" t="s">
        <v>68</v>
      </c>
      <c r="C173" t="s">
        <v>26</v>
      </c>
      <c r="D173" t="s">
        <v>27</v>
      </c>
      <c r="E173" t="s">
        <v>55</v>
      </c>
      <c r="F173" t="s">
        <v>56</v>
      </c>
      <c r="G173">
        <v>26280</v>
      </c>
      <c r="H173">
        <v>53</v>
      </c>
      <c r="I173">
        <v>7803</v>
      </c>
      <c r="J173" t="s">
        <v>61</v>
      </c>
      <c r="K173">
        <v>2025</v>
      </c>
    </row>
    <row r="174" spans="1:11" ht="15.75" customHeight="1">
      <c r="A174" t="s">
        <v>115</v>
      </c>
      <c r="B174" t="s">
        <v>19</v>
      </c>
      <c r="C174" t="s">
        <v>45</v>
      </c>
      <c r="D174" t="s">
        <v>39</v>
      </c>
      <c r="E174" t="s">
        <v>69</v>
      </c>
      <c r="F174" t="s">
        <v>70</v>
      </c>
      <c r="G174">
        <v>44001</v>
      </c>
      <c r="H174">
        <v>37</v>
      </c>
      <c r="I174">
        <v>10850</v>
      </c>
      <c r="J174" t="s">
        <v>30</v>
      </c>
      <c r="K174">
        <v>2025</v>
      </c>
    </row>
    <row r="175" spans="1:11" ht="15.75" customHeight="1">
      <c r="A175" t="s">
        <v>54</v>
      </c>
      <c r="B175" t="s">
        <v>85</v>
      </c>
      <c r="C175" t="s">
        <v>51</v>
      </c>
      <c r="D175" t="s">
        <v>14</v>
      </c>
      <c r="E175" t="s">
        <v>15</v>
      </c>
      <c r="F175" t="s">
        <v>16</v>
      </c>
      <c r="G175">
        <v>41970</v>
      </c>
      <c r="H175">
        <v>62</v>
      </c>
      <c r="I175">
        <v>8534</v>
      </c>
      <c r="J175" t="s">
        <v>23</v>
      </c>
      <c r="K175">
        <v>2025</v>
      </c>
    </row>
    <row r="176" spans="1:11" ht="15.75" customHeight="1">
      <c r="A176" t="s">
        <v>11</v>
      </c>
      <c r="B176" t="s">
        <v>19</v>
      </c>
      <c r="C176" t="s">
        <v>33</v>
      </c>
      <c r="D176" t="s">
        <v>39</v>
      </c>
      <c r="E176" t="s">
        <v>69</v>
      </c>
      <c r="F176" t="s">
        <v>70</v>
      </c>
      <c r="G176">
        <v>57979</v>
      </c>
      <c r="H176">
        <v>93</v>
      </c>
      <c r="I176">
        <v>12315</v>
      </c>
      <c r="J176" t="s">
        <v>17</v>
      </c>
      <c r="K176">
        <v>2025</v>
      </c>
    </row>
    <row r="177" spans="1:11" ht="15.75" customHeight="1">
      <c r="A177" t="s">
        <v>194</v>
      </c>
      <c r="B177" t="s">
        <v>138</v>
      </c>
      <c r="C177" t="s">
        <v>13</v>
      </c>
      <c r="D177" t="s">
        <v>39</v>
      </c>
      <c r="E177" t="s">
        <v>40</v>
      </c>
      <c r="F177" t="s">
        <v>41</v>
      </c>
      <c r="G177">
        <v>50976</v>
      </c>
      <c r="H177">
        <v>90</v>
      </c>
      <c r="I177">
        <v>3016</v>
      </c>
      <c r="J177" t="s">
        <v>93</v>
      </c>
      <c r="K177">
        <v>2025</v>
      </c>
    </row>
    <row r="178" spans="1:11" ht="15.75" customHeight="1">
      <c r="A178" t="s">
        <v>137</v>
      </c>
      <c r="B178" t="s">
        <v>68</v>
      </c>
      <c r="C178" t="s">
        <v>51</v>
      </c>
      <c r="D178" t="s">
        <v>27</v>
      </c>
      <c r="E178" t="s">
        <v>112</v>
      </c>
      <c r="F178" t="s">
        <v>113</v>
      </c>
      <c r="G178">
        <v>8214</v>
      </c>
      <c r="H178">
        <v>87</v>
      </c>
      <c r="I178">
        <v>2225</v>
      </c>
      <c r="J178" t="s">
        <v>78</v>
      </c>
      <c r="K178">
        <v>2025</v>
      </c>
    </row>
    <row r="179" spans="1:11" ht="15.75" customHeight="1">
      <c r="A179" t="s">
        <v>222</v>
      </c>
      <c r="B179" t="s">
        <v>50</v>
      </c>
      <c r="C179" t="s">
        <v>26</v>
      </c>
      <c r="D179" t="s">
        <v>14</v>
      </c>
      <c r="E179" t="s">
        <v>15</v>
      </c>
      <c r="F179" t="s">
        <v>16</v>
      </c>
      <c r="G179">
        <v>19850</v>
      </c>
      <c r="H179">
        <v>50</v>
      </c>
      <c r="I179">
        <v>3430</v>
      </c>
      <c r="J179" t="s">
        <v>17</v>
      </c>
      <c r="K179">
        <v>2025</v>
      </c>
    </row>
    <row r="180" spans="1:11" ht="15.75" customHeight="1">
      <c r="A180" t="s">
        <v>91</v>
      </c>
      <c r="B180" t="s">
        <v>117</v>
      </c>
      <c r="C180" t="s">
        <v>20</v>
      </c>
      <c r="D180" t="s">
        <v>39</v>
      </c>
      <c r="E180" t="s">
        <v>40</v>
      </c>
      <c r="F180" t="s">
        <v>41</v>
      </c>
      <c r="G180">
        <v>38443</v>
      </c>
      <c r="H180">
        <v>14</v>
      </c>
      <c r="I180">
        <v>10188</v>
      </c>
      <c r="J180" t="s">
        <v>23</v>
      </c>
      <c r="K180">
        <v>2025</v>
      </c>
    </row>
    <row r="181" spans="1:11" ht="15.75" customHeight="1">
      <c r="A181" t="s">
        <v>223</v>
      </c>
      <c r="B181" t="s">
        <v>38</v>
      </c>
      <c r="C181" t="s">
        <v>20</v>
      </c>
      <c r="D181" t="s">
        <v>14</v>
      </c>
      <c r="E181" t="s">
        <v>107</v>
      </c>
      <c r="F181" t="s">
        <v>108</v>
      </c>
      <c r="G181">
        <v>24265</v>
      </c>
      <c r="H181">
        <v>76</v>
      </c>
      <c r="I181">
        <v>1428</v>
      </c>
      <c r="J181" t="s">
        <v>36</v>
      </c>
      <c r="K181">
        <v>2025</v>
      </c>
    </row>
    <row r="182" spans="1:11" ht="15.75" customHeight="1">
      <c r="A182" t="s">
        <v>224</v>
      </c>
      <c r="B182" t="s">
        <v>99</v>
      </c>
      <c r="C182" t="s">
        <v>13</v>
      </c>
      <c r="D182" t="s">
        <v>14</v>
      </c>
      <c r="E182" t="s">
        <v>107</v>
      </c>
      <c r="F182" t="s">
        <v>108</v>
      </c>
      <c r="G182">
        <v>26559</v>
      </c>
      <c r="H182">
        <v>79</v>
      </c>
      <c r="I182">
        <v>1361</v>
      </c>
      <c r="J182" t="s">
        <v>17</v>
      </c>
      <c r="K182">
        <v>2025</v>
      </c>
    </row>
    <row r="183" spans="1:11" ht="15.75" customHeight="1">
      <c r="A183" t="s">
        <v>140</v>
      </c>
      <c r="B183" t="s">
        <v>126</v>
      </c>
      <c r="C183" t="s">
        <v>26</v>
      </c>
      <c r="D183" t="s">
        <v>14</v>
      </c>
      <c r="E183" t="s">
        <v>73</v>
      </c>
      <c r="F183" t="s">
        <v>74</v>
      </c>
      <c r="G183">
        <v>10903</v>
      </c>
      <c r="H183">
        <v>77</v>
      </c>
      <c r="I183">
        <v>2983</v>
      </c>
      <c r="J183" t="s">
        <v>53</v>
      </c>
      <c r="K183">
        <v>2025</v>
      </c>
    </row>
    <row r="184" spans="1:11" ht="15.75" customHeight="1">
      <c r="A184" t="s">
        <v>101</v>
      </c>
      <c r="B184" t="s">
        <v>134</v>
      </c>
      <c r="C184" t="s">
        <v>26</v>
      </c>
      <c r="D184" t="s">
        <v>39</v>
      </c>
      <c r="E184" t="s">
        <v>89</v>
      </c>
      <c r="F184" t="s">
        <v>90</v>
      </c>
      <c r="G184">
        <v>2591</v>
      </c>
      <c r="H184">
        <v>40</v>
      </c>
      <c r="I184">
        <v>568</v>
      </c>
      <c r="J184" t="s">
        <v>36</v>
      </c>
      <c r="K184">
        <v>2025</v>
      </c>
    </row>
    <row r="185" spans="1:11" ht="15.75" customHeight="1">
      <c r="A185" t="s">
        <v>225</v>
      </c>
      <c r="B185" t="s">
        <v>25</v>
      </c>
      <c r="C185" t="s">
        <v>13</v>
      </c>
      <c r="D185" t="s">
        <v>14</v>
      </c>
      <c r="E185" t="s">
        <v>73</v>
      </c>
      <c r="F185" t="s">
        <v>74</v>
      </c>
      <c r="G185">
        <v>8314</v>
      </c>
      <c r="H185">
        <v>80</v>
      </c>
      <c r="I185">
        <v>1784</v>
      </c>
      <c r="J185" t="s">
        <v>53</v>
      </c>
      <c r="K185">
        <v>2025</v>
      </c>
    </row>
    <row r="186" spans="1:11" ht="15.75" customHeight="1">
      <c r="A186" t="s">
        <v>188</v>
      </c>
      <c r="B186" t="s">
        <v>32</v>
      </c>
      <c r="C186" t="s">
        <v>20</v>
      </c>
      <c r="D186" t="s">
        <v>39</v>
      </c>
      <c r="E186" t="s">
        <v>40</v>
      </c>
      <c r="F186" t="s">
        <v>41</v>
      </c>
      <c r="G186">
        <v>34130</v>
      </c>
      <c r="H186">
        <v>45</v>
      </c>
      <c r="I186">
        <v>7657</v>
      </c>
      <c r="J186" t="s">
        <v>61</v>
      </c>
      <c r="K186">
        <v>2025</v>
      </c>
    </row>
    <row r="187" spans="1:11" ht="15.75" customHeight="1">
      <c r="A187" t="s">
        <v>67</v>
      </c>
      <c r="B187" t="s">
        <v>117</v>
      </c>
      <c r="C187" t="s">
        <v>20</v>
      </c>
      <c r="D187" t="s">
        <v>27</v>
      </c>
      <c r="E187" t="s">
        <v>55</v>
      </c>
      <c r="F187" t="s">
        <v>56</v>
      </c>
      <c r="G187">
        <v>49874</v>
      </c>
      <c r="H187">
        <v>45</v>
      </c>
      <c r="I187">
        <v>13364</v>
      </c>
      <c r="J187" t="s">
        <v>30</v>
      </c>
      <c r="K187">
        <v>2025</v>
      </c>
    </row>
    <row r="188" spans="1:11" ht="15.75" customHeight="1">
      <c r="A188" t="s">
        <v>139</v>
      </c>
      <c r="B188" t="s">
        <v>99</v>
      </c>
      <c r="C188" t="s">
        <v>26</v>
      </c>
      <c r="D188" t="s">
        <v>14</v>
      </c>
      <c r="E188" t="s">
        <v>34</v>
      </c>
      <c r="F188" t="s">
        <v>35</v>
      </c>
      <c r="G188">
        <v>37766</v>
      </c>
      <c r="H188">
        <v>82</v>
      </c>
      <c r="I188">
        <v>9611</v>
      </c>
      <c r="J188" t="s">
        <v>78</v>
      </c>
      <c r="K188">
        <v>2025</v>
      </c>
    </row>
    <row r="189" spans="1:11" ht="15.75" customHeight="1">
      <c r="A189" t="s">
        <v>226</v>
      </c>
      <c r="B189" t="s">
        <v>81</v>
      </c>
      <c r="C189" t="s">
        <v>13</v>
      </c>
      <c r="D189" t="s">
        <v>27</v>
      </c>
      <c r="E189" t="s">
        <v>130</v>
      </c>
      <c r="F189" t="s">
        <v>131</v>
      </c>
      <c r="G189">
        <v>22727</v>
      </c>
      <c r="H189">
        <v>13</v>
      </c>
      <c r="I189">
        <v>4641</v>
      </c>
      <c r="J189" t="s">
        <v>42</v>
      </c>
      <c r="K189">
        <v>2025</v>
      </c>
    </row>
    <row r="190" spans="1:11" ht="15.75" customHeight="1">
      <c r="A190" t="s">
        <v>227</v>
      </c>
      <c r="B190" t="s">
        <v>134</v>
      </c>
      <c r="C190" t="s">
        <v>45</v>
      </c>
      <c r="D190" t="s">
        <v>39</v>
      </c>
      <c r="E190" t="s">
        <v>89</v>
      </c>
      <c r="F190" t="s">
        <v>90</v>
      </c>
      <c r="G190">
        <v>2007</v>
      </c>
      <c r="H190">
        <v>70</v>
      </c>
      <c r="I190">
        <v>242</v>
      </c>
      <c r="J190" t="s">
        <v>105</v>
      </c>
      <c r="K190">
        <v>2025</v>
      </c>
    </row>
    <row r="191" spans="1:11" ht="15.75" customHeight="1">
      <c r="A191" t="s">
        <v>228</v>
      </c>
      <c r="B191" t="s">
        <v>44</v>
      </c>
      <c r="C191" t="s">
        <v>45</v>
      </c>
      <c r="D191" t="s">
        <v>14</v>
      </c>
      <c r="E191" t="s">
        <v>34</v>
      </c>
      <c r="F191" t="s">
        <v>35</v>
      </c>
      <c r="G191">
        <v>26821</v>
      </c>
      <c r="H191">
        <v>37</v>
      </c>
      <c r="I191">
        <v>2028</v>
      </c>
      <c r="J191" t="s">
        <v>30</v>
      </c>
      <c r="K191">
        <v>2025</v>
      </c>
    </row>
    <row r="192" spans="1:11" ht="15.75" customHeight="1">
      <c r="A192" t="s">
        <v>229</v>
      </c>
      <c r="B192" t="s">
        <v>50</v>
      </c>
      <c r="C192" t="s">
        <v>20</v>
      </c>
      <c r="D192" t="s">
        <v>27</v>
      </c>
      <c r="E192" t="s">
        <v>55</v>
      </c>
      <c r="F192" t="s">
        <v>56</v>
      </c>
      <c r="G192">
        <v>9073</v>
      </c>
      <c r="H192">
        <v>65</v>
      </c>
      <c r="I192">
        <v>585</v>
      </c>
      <c r="J192" t="s">
        <v>30</v>
      </c>
      <c r="K192">
        <v>2025</v>
      </c>
    </row>
    <row r="193" spans="1:11" ht="15.75" customHeight="1">
      <c r="A193" t="s">
        <v>230</v>
      </c>
      <c r="B193" t="s">
        <v>138</v>
      </c>
      <c r="C193" t="s">
        <v>26</v>
      </c>
      <c r="D193" t="s">
        <v>14</v>
      </c>
      <c r="E193" t="s">
        <v>34</v>
      </c>
      <c r="F193" t="s">
        <v>35</v>
      </c>
      <c r="G193">
        <v>26338</v>
      </c>
      <c r="H193">
        <v>99</v>
      </c>
      <c r="I193">
        <v>5230</v>
      </c>
      <c r="J193" t="s">
        <v>30</v>
      </c>
      <c r="K193">
        <v>2025</v>
      </c>
    </row>
    <row r="194" spans="1:11" ht="15.75" customHeight="1">
      <c r="A194" t="s">
        <v>231</v>
      </c>
      <c r="B194" t="s">
        <v>25</v>
      </c>
      <c r="C194" t="s">
        <v>20</v>
      </c>
      <c r="D194" t="s">
        <v>14</v>
      </c>
      <c r="E194" t="s">
        <v>73</v>
      </c>
      <c r="F194" t="s">
        <v>74</v>
      </c>
      <c r="G194">
        <v>48182</v>
      </c>
      <c r="H194">
        <v>32</v>
      </c>
      <c r="I194">
        <v>11689</v>
      </c>
      <c r="J194" t="s">
        <v>53</v>
      </c>
      <c r="K194">
        <v>2025</v>
      </c>
    </row>
    <row r="195" spans="1:11" ht="15.75" customHeight="1">
      <c r="A195" t="s">
        <v>232</v>
      </c>
      <c r="B195" t="s">
        <v>44</v>
      </c>
      <c r="C195" t="s">
        <v>26</v>
      </c>
      <c r="D195" t="s">
        <v>27</v>
      </c>
      <c r="E195" t="s">
        <v>86</v>
      </c>
      <c r="F195" t="s">
        <v>87</v>
      </c>
      <c r="G195">
        <v>15288</v>
      </c>
      <c r="H195">
        <v>99</v>
      </c>
      <c r="I195">
        <v>2489</v>
      </c>
      <c r="J195" t="s">
        <v>105</v>
      </c>
      <c r="K195">
        <v>2025</v>
      </c>
    </row>
    <row r="196" spans="1:11" ht="15.75" customHeight="1">
      <c r="A196" t="s">
        <v>233</v>
      </c>
      <c r="B196" t="s">
        <v>99</v>
      </c>
      <c r="C196" t="s">
        <v>13</v>
      </c>
      <c r="D196" t="s">
        <v>14</v>
      </c>
      <c r="E196" t="s">
        <v>73</v>
      </c>
      <c r="F196" t="s">
        <v>74</v>
      </c>
      <c r="G196">
        <v>47766</v>
      </c>
      <c r="H196">
        <v>78</v>
      </c>
      <c r="I196">
        <v>5135</v>
      </c>
      <c r="J196" t="s">
        <v>48</v>
      </c>
      <c r="K196">
        <v>2025</v>
      </c>
    </row>
    <row r="197" spans="1:11" ht="15.75" customHeight="1">
      <c r="A197" t="s">
        <v>234</v>
      </c>
      <c r="B197" t="s">
        <v>50</v>
      </c>
      <c r="C197" t="s">
        <v>20</v>
      </c>
      <c r="D197" t="s">
        <v>14</v>
      </c>
      <c r="E197" t="s">
        <v>21</v>
      </c>
      <c r="F197" t="s">
        <v>22</v>
      </c>
      <c r="G197">
        <v>33347</v>
      </c>
      <c r="H197">
        <v>93</v>
      </c>
      <c r="I197">
        <v>9534</v>
      </c>
      <c r="J197" t="s">
        <v>30</v>
      </c>
      <c r="K197">
        <v>2025</v>
      </c>
    </row>
    <row r="198" spans="1:11" ht="15.75" customHeight="1">
      <c r="A198" t="s">
        <v>223</v>
      </c>
      <c r="B198" t="s">
        <v>117</v>
      </c>
      <c r="C198" t="s">
        <v>33</v>
      </c>
      <c r="D198" t="s">
        <v>39</v>
      </c>
      <c r="E198" t="s">
        <v>40</v>
      </c>
      <c r="F198" t="s">
        <v>41</v>
      </c>
      <c r="G198">
        <v>33196</v>
      </c>
      <c r="H198">
        <v>3</v>
      </c>
      <c r="I198">
        <v>4248</v>
      </c>
      <c r="J198" t="s">
        <v>36</v>
      </c>
      <c r="K198">
        <v>2025</v>
      </c>
    </row>
    <row r="199" spans="1:11" ht="15.75" customHeight="1">
      <c r="A199" t="s">
        <v>220</v>
      </c>
      <c r="B199" t="s">
        <v>12</v>
      </c>
      <c r="C199" t="s">
        <v>51</v>
      </c>
      <c r="D199" t="s">
        <v>27</v>
      </c>
      <c r="E199" t="s">
        <v>55</v>
      </c>
      <c r="F199" t="s">
        <v>56</v>
      </c>
      <c r="G199">
        <v>27431</v>
      </c>
      <c r="H199">
        <v>25</v>
      </c>
      <c r="I199">
        <v>6274</v>
      </c>
      <c r="J199" t="s">
        <v>105</v>
      </c>
      <c r="K199">
        <v>2025</v>
      </c>
    </row>
    <row r="200" spans="1:11" ht="15.75" customHeight="1">
      <c r="A200" t="s">
        <v>11</v>
      </c>
      <c r="B200" t="s">
        <v>32</v>
      </c>
      <c r="C200" t="s">
        <v>33</v>
      </c>
      <c r="D200" t="s">
        <v>27</v>
      </c>
      <c r="E200" t="s">
        <v>86</v>
      </c>
      <c r="F200" t="s">
        <v>87</v>
      </c>
      <c r="G200">
        <v>22563</v>
      </c>
      <c r="H200">
        <v>46</v>
      </c>
      <c r="I200">
        <v>2277</v>
      </c>
      <c r="J200" t="s">
        <v>17</v>
      </c>
      <c r="K200">
        <v>2025</v>
      </c>
    </row>
    <row r="201" spans="1:11" ht="15.75" customHeight="1">
      <c r="A201" t="s">
        <v>235</v>
      </c>
      <c r="B201" t="s">
        <v>138</v>
      </c>
      <c r="C201" t="s">
        <v>20</v>
      </c>
      <c r="D201" t="s">
        <v>39</v>
      </c>
      <c r="E201" t="s">
        <v>95</v>
      </c>
      <c r="F201" t="s">
        <v>96</v>
      </c>
      <c r="G201">
        <v>40110</v>
      </c>
      <c r="H201">
        <v>3</v>
      </c>
      <c r="I201">
        <v>9995</v>
      </c>
      <c r="J201" t="s">
        <v>105</v>
      </c>
      <c r="K201">
        <v>2025</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CDBF-FB7F-485A-BC45-E921D77725E5}">
  <dimension ref="A1:AE24"/>
  <sheetViews>
    <sheetView showGridLines="0" topLeftCell="S1" zoomScale="71" zoomScaleNormal="71" workbookViewId="0">
      <selection activeCell="U15" sqref="U15"/>
    </sheetView>
  </sheetViews>
  <sheetFormatPr defaultRowHeight="14.5"/>
  <cols>
    <col min="1" max="1" width="12.54296875" bestFit="1" customWidth="1"/>
    <col min="2" max="2" width="3.81640625" customWidth="1"/>
    <col min="3" max="3" width="13.81640625" bestFit="1" customWidth="1"/>
    <col min="4" max="4" width="16.7265625" bestFit="1" customWidth="1"/>
    <col min="5" max="5" width="13.90625" bestFit="1" customWidth="1"/>
    <col min="6" max="7" width="11.26953125" bestFit="1" customWidth="1"/>
    <col min="8" max="8" width="4.08984375" customWidth="1"/>
    <col min="9" max="9" width="13.81640625" bestFit="1" customWidth="1"/>
    <col min="10" max="10" width="12.7265625" bestFit="1" customWidth="1"/>
    <col min="11" max="11" width="3.7265625" customWidth="1"/>
    <col min="13" max="13" width="12.6328125" bestFit="1" customWidth="1"/>
    <col min="14" max="14" width="3.90625" customWidth="1"/>
    <col min="15" max="15" width="16.36328125" customWidth="1"/>
    <col min="17" max="17" width="3.90625" customWidth="1"/>
    <col min="18" max="18" width="12.36328125" bestFit="1" customWidth="1"/>
    <col min="19" max="19" width="22.36328125" bestFit="1" customWidth="1"/>
    <col min="20" max="20" width="4" customWidth="1"/>
    <col min="21" max="21" width="13.81640625" bestFit="1" customWidth="1"/>
    <col min="22" max="22" width="12.7265625" bestFit="1" customWidth="1"/>
    <col min="23" max="23" width="4.453125" customWidth="1"/>
    <col min="24" max="24" width="12.26953125" bestFit="1" customWidth="1"/>
    <col min="25" max="25" width="13.7265625" bestFit="1" customWidth="1"/>
    <col min="26" max="26" width="3.90625" customWidth="1"/>
    <col min="27" max="27" width="13.81640625" bestFit="1" customWidth="1"/>
    <col min="28" max="28" width="12.54296875" bestFit="1" customWidth="1"/>
    <col min="29" max="29" width="3.7265625" customWidth="1"/>
    <col min="30" max="30" width="13.81640625" bestFit="1" customWidth="1"/>
    <col min="31" max="31" width="11.90625" bestFit="1" customWidth="1"/>
  </cols>
  <sheetData>
    <row r="1" spans="1:31">
      <c r="O1" s="1" t="s">
        <v>1</v>
      </c>
      <c r="P1" s="1" t="s">
        <v>10</v>
      </c>
    </row>
    <row r="2" spans="1:31" ht="15.5">
      <c r="A2" s="7" t="s">
        <v>241</v>
      </c>
      <c r="O2" t="s">
        <v>12</v>
      </c>
      <c r="P2">
        <v>2025</v>
      </c>
    </row>
    <row r="3" spans="1:31" ht="15.5">
      <c r="A3" t="s">
        <v>236</v>
      </c>
      <c r="C3" s="8" t="s">
        <v>238</v>
      </c>
      <c r="I3" s="7" t="s">
        <v>243</v>
      </c>
      <c r="J3" s="9"/>
      <c r="O3" t="s">
        <v>19</v>
      </c>
      <c r="P3">
        <v>2025</v>
      </c>
      <c r="R3" s="7" t="s">
        <v>244</v>
      </c>
      <c r="S3" s="9"/>
    </row>
    <row r="4" spans="1:31" ht="15.5">
      <c r="A4" s="5">
        <v>543171</v>
      </c>
      <c r="C4" s="2" t="s">
        <v>237</v>
      </c>
      <c r="D4" s="2" t="s">
        <v>250</v>
      </c>
      <c r="I4" s="2" t="s">
        <v>239</v>
      </c>
      <c r="J4" t="s">
        <v>236</v>
      </c>
      <c r="L4" s="7" t="s">
        <v>3</v>
      </c>
      <c r="M4" s="7" t="s">
        <v>6</v>
      </c>
      <c r="O4" t="s">
        <v>25</v>
      </c>
      <c r="P4">
        <v>2025</v>
      </c>
      <c r="Q4" s="4"/>
      <c r="R4" s="2" t="s">
        <v>239</v>
      </c>
      <c r="S4" t="s">
        <v>246</v>
      </c>
      <c r="U4" s="7" t="s">
        <v>247</v>
      </c>
    </row>
    <row r="5" spans="1:31" ht="15.5">
      <c r="C5" s="2" t="s">
        <v>239</v>
      </c>
      <c r="D5" t="s">
        <v>39</v>
      </c>
      <c r="E5" t="s">
        <v>14</v>
      </c>
      <c r="F5" t="s">
        <v>27</v>
      </c>
      <c r="G5" t="s">
        <v>240</v>
      </c>
      <c r="I5" s="3" t="s">
        <v>73</v>
      </c>
      <c r="J5" s="5">
        <v>81865</v>
      </c>
      <c r="L5" t="str">
        <f>I5</f>
        <v>Envelopes</v>
      </c>
      <c r="M5" s="6">
        <f>GETPIVOTDATA("Sales",$I$4,"Sub-Category",L5)</f>
        <v>81865</v>
      </c>
      <c r="O5" t="s">
        <v>32</v>
      </c>
      <c r="P5">
        <v>2025</v>
      </c>
      <c r="R5" s="3">
        <v>2025</v>
      </c>
      <c r="S5" s="5">
        <v>20</v>
      </c>
      <c r="U5" s="2" t="s">
        <v>239</v>
      </c>
      <c r="V5" t="s">
        <v>236</v>
      </c>
      <c r="X5" s="7" t="s">
        <v>2</v>
      </c>
      <c r="Y5" s="7" t="s">
        <v>6</v>
      </c>
      <c r="AA5" s="7" t="s">
        <v>248</v>
      </c>
      <c r="AB5" s="7"/>
      <c r="AD5" s="7" t="s">
        <v>249</v>
      </c>
      <c r="AE5" s="9"/>
    </row>
    <row r="6" spans="1:31" ht="15.5">
      <c r="A6" s="4" t="s">
        <v>242</v>
      </c>
      <c r="C6" s="3">
        <v>2025</v>
      </c>
      <c r="D6" s="5">
        <v>19788</v>
      </c>
      <c r="E6" s="5">
        <v>42593</v>
      </c>
      <c r="F6" s="5">
        <v>27805</v>
      </c>
      <c r="G6" s="5">
        <v>90186</v>
      </c>
      <c r="I6" s="3" t="s">
        <v>130</v>
      </c>
      <c r="J6" s="5">
        <v>61607</v>
      </c>
      <c r="L6" t="str">
        <f t="shared" ref="L6:L24" si="0">I6</f>
        <v>Tablets</v>
      </c>
      <c r="M6" s="6">
        <f t="shared" ref="M6:M24" si="1">GETPIVOTDATA("Sales",$I$4,"Sub-Category",L6)</f>
        <v>61607</v>
      </c>
      <c r="O6" t="s">
        <v>38</v>
      </c>
      <c r="P6">
        <v>2025</v>
      </c>
      <c r="R6" s="3" t="s">
        <v>245</v>
      </c>
      <c r="S6" s="5"/>
      <c r="U6" s="3" t="s">
        <v>45</v>
      </c>
      <c r="V6" s="5">
        <v>88375</v>
      </c>
      <c r="X6" t="str">
        <f>U6</f>
        <v>Delhi</v>
      </c>
      <c r="Y6" s="6">
        <f>GETPIVOTDATA("Sales",$U$5,"State",X6)</f>
        <v>88375</v>
      </c>
      <c r="AA6" s="2" t="s">
        <v>239</v>
      </c>
      <c r="AB6" t="s">
        <v>237</v>
      </c>
      <c r="AD6" s="2" t="s">
        <v>239</v>
      </c>
      <c r="AE6" t="s">
        <v>236</v>
      </c>
    </row>
    <row r="7" spans="1:31">
      <c r="A7" t="s">
        <v>237</v>
      </c>
      <c r="C7" s="3" t="s">
        <v>240</v>
      </c>
      <c r="D7" s="5">
        <v>19788</v>
      </c>
      <c r="E7" s="5">
        <v>42593</v>
      </c>
      <c r="F7" s="5">
        <v>27805</v>
      </c>
      <c r="G7" s="5">
        <v>90186</v>
      </c>
      <c r="I7" s="3" t="s">
        <v>122</v>
      </c>
      <c r="J7" s="5">
        <v>59650</v>
      </c>
      <c r="L7" t="str">
        <f t="shared" si="0"/>
        <v>Folders</v>
      </c>
      <c r="M7" s="6">
        <f t="shared" si="1"/>
        <v>59650</v>
      </c>
      <c r="O7" t="s">
        <v>44</v>
      </c>
      <c r="P7">
        <v>2025</v>
      </c>
      <c r="R7" s="3" t="s">
        <v>240</v>
      </c>
      <c r="S7" s="5">
        <v>20</v>
      </c>
      <c r="U7" s="3" t="s">
        <v>20</v>
      </c>
      <c r="V7" s="5">
        <v>124794</v>
      </c>
      <c r="X7" t="str">
        <f t="shared" ref="X7:X11" si="2">U7</f>
        <v>Karnataka</v>
      </c>
      <c r="Y7" s="6">
        <f t="shared" ref="Y7:Y11" si="3">GETPIVOTDATA("Sales",$U$5,"State",X7)</f>
        <v>124794</v>
      </c>
      <c r="AA7" s="3" t="s">
        <v>63</v>
      </c>
      <c r="AB7" s="5">
        <v>21272</v>
      </c>
      <c r="AD7" s="3" t="s">
        <v>66</v>
      </c>
      <c r="AE7" s="11">
        <v>543171</v>
      </c>
    </row>
    <row r="8" spans="1:31">
      <c r="A8" s="5">
        <v>90186</v>
      </c>
      <c r="I8" s="3" t="s">
        <v>28</v>
      </c>
      <c r="J8" s="5">
        <v>56449</v>
      </c>
      <c r="L8" t="str">
        <f t="shared" si="0"/>
        <v>Cameras</v>
      </c>
      <c r="M8" s="6">
        <f t="shared" si="1"/>
        <v>56449</v>
      </c>
      <c r="O8" t="s">
        <v>50</v>
      </c>
      <c r="P8">
        <v>2025</v>
      </c>
      <c r="U8" s="3" t="s">
        <v>26</v>
      </c>
      <c r="V8" s="5">
        <v>75456</v>
      </c>
      <c r="X8" t="str">
        <f t="shared" si="2"/>
        <v>Maharashtra</v>
      </c>
      <c r="Y8" s="6">
        <f t="shared" si="3"/>
        <v>75456</v>
      </c>
      <c r="AA8" s="3" t="s">
        <v>72</v>
      </c>
      <c r="AB8" s="5">
        <v>13048</v>
      </c>
      <c r="AD8" s="3" t="s">
        <v>240</v>
      </c>
      <c r="AE8" s="11">
        <v>543171</v>
      </c>
    </row>
    <row r="9" spans="1:31">
      <c r="I9" s="3" t="s">
        <v>86</v>
      </c>
      <c r="J9" s="5">
        <v>52964</v>
      </c>
      <c r="L9" t="str">
        <f t="shared" si="0"/>
        <v>Headphones</v>
      </c>
      <c r="M9" s="6">
        <f t="shared" si="1"/>
        <v>52964</v>
      </c>
      <c r="O9" t="s">
        <v>58</v>
      </c>
      <c r="P9">
        <v>2025</v>
      </c>
      <c r="U9" s="3" t="s">
        <v>33</v>
      </c>
      <c r="V9" s="5">
        <v>31017</v>
      </c>
      <c r="X9" t="str">
        <f t="shared" si="2"/>
        <v>Tamil Nadu</v>
      </c>
      <c r="Y9" s="6">
        <f t="shared" si="3"/>
        <v>31017</v>
      </c>
      <c r="AA9" s="3" t="s">
        <v>117</v>
      </c>
      <c r="AB9" s="5">
        <v>11548</v>
      </c>
    </row>
    <row r="10" spans="1:31">
      <c r="I10" s="3" t="s">
        <v>64</v>
      </c>
      <c r="J10" s="5">
        <v>47566</v>
      </c>
      <c r="L10" t="str">
        <f t="shared" si="0"/>
        <v>Bookcases</v>
      </c>
      <c r="M10" s="6">
        <f t="shared" si="1"/>
        <v>47566</v>
      </c>
      <c r="O10" t="s">
        <v>63</v>
      </c>
      <c r="P10">
        <v>2025</v>
      </c>
      <c r="U10" s="3" t="s">
        <v>13</v>
      </c>
      <c r="V10" s="5">
        <v>71757</v>
      </c>
      <c r="X10" t="str">
        <f t="shared" si="2"/>
        <v>Uttar Pradesh</v>
      </c>
      <c r="Y10" s="6">
        <f t="shared" si="3"/>
        <v>71757</v>
      </c>
      <c r="AA10" s="3" t="s">
        <v>99</v>
      </c>
      <c r="AB10" s="5">
        <v>10967</v>
      </c>
    </row>
    <row r="11" spans="1:31">
      <c r="A11" s="10">
        <f>GETPIVOTDATA("Sales",$A$3)</f>
        <v>543171</v>
      </c>
      <c r="I11" s="3" t="s">
        <v>15</v>
      </c>
      <c r="J11" s="5">
        <v>45460</v>
      </c>
      <c r="L11" t="str">
        <f t="shared" si="0"/>
        <v>Staplers</v>
      </c>
      <c r="M11" s="6">
        <f t="shared" si="1"/>
        <v>45460</v>
      </c>
      <c r="O11" t="s">
        <v>68</v>
      </c>
      <c r="P11">
        <v>2025</v>
      </c>
      <c r="U11" s="3" t="s">
        <v>51</v>
      </c>
      <c r="V11" s="5">
        <v>151772</v>
      </c>
      <c r="X11" t="str">
        <f t="shared" si="2"/>
        <v>West Bengal</v>
      </c>
      <c r="Y11" s="6">
        <f t="shared" si="3"/>
        <v>151772</v>
      </c>
      <c r="AA11" s="3" t="s">
        <v>58</v>
      </c>
      <c r="AB11" s="5">
        <v>8931</v>
      </c>
    </row>
    <row r="12" spans="1:31">
      <c r="A12" s="10">
        <f>GETPIVOTDATA("Profit",$A$7)</f>
        <v>90186</v>
      </c>
      <c r="I12" s="3" t="s">
        <v>21</v>
      </c>
      <c r="J12" s="5">
        <v>43460</v>
      </c>
      <c r="L12" t="str">
        <f t="shared" si="0"/>
        <v>Pens</v>
      </c>
      <c r="M12" s="6">
        <f t="shared" si="1"/>
        <v>43460</v>
      </c>
      <c r="O12" t="s">
        <v>72</v>
      </c>
      <c r="P12">
        <v>2025</v>
      </c>
      <c r="U12" s="3" t="s">
        <v>240</v>
      </c>
      <c r="V12" s="5">
        <v>543171</v>
      </c>
      <c r="AA12" s="3" t="s">
        <v>240</v>
      </c>
      <c r="AB12" s="5">
        <v>65766</v>
      </c>
    </row>
    <row r="13" spans="1:31">
      <c r="I13" s="3" t="s">
        <v>69</v>
      </c>
      <c r="J13" s="5">
        <v>36796</v>
      </c>
      <c r="L13" t="str">
        <f t="shared" si="0"/>
        <v>Desks</v>
      </c>
      <c r="M13" s="6">
        <f t="shared" si="1"/>
        <v>36796</v>
      </c>
      <c r="O13" t="s">
        <v>76</v>
      </c>
      <c r="P13">
        <v>2025</v>
      </c>
    </row>
    <row r="14" spans="1:31">
      <c r="I14" s="3" t="s">
        <v>82</v>
      </c>
      <c r="J14" s="5">
        <v>28643</v>
      </c>
      <c r="L14" t="str">
        <f t="shared" si="0"/>
        <v>Cupboards</v>
      </c>
      <c r="M14" s="6">
        <f t="shared" si="1"/>
        <v>28643</v>
      </c>
      <c r="O14" t="s">
        <v>81</v>
      </c>
      <c r="P14">
        <v>2025</v>
      </c>
    </row>
    <row r="15" spans="1:31">
      <c r="I15" s="3" t="s">
        <v>46</v>
      </c>
      <c r="J15" s="5">
        <v>22172</v>
      </c>
      <c r="L15" t="str">
        <f t="shared" si="0"/>
        <v>Mobiles</v>
      </c>
      <c r="M15" s="6">
        <f t="shared" si="1"/>
        <v>22172</v>
      </c>
      <c r="O15" t="s">
        <v>85</v>
      </c>
      <c r="P15">
        <v>2025</v>
      </c>
    </row>
    <row r="16" spans="1:31">
      <c r="I16" s="3" t="s">
        <v>109</v>
      </c>
      <c r="J16" s="5">
        <v>6539</v>
      </c>
      <c r="L16" t="str">
        <f t="shared" si="0"/>
        <v>Laptops</v>
      </c>
      <c r="M16" s="6">
        <f t="shared" si="1"/>
        <v>6539</v>
      </c>
      <c r="O16" t="s">
        <v>99</v>
      </c>
      <c r="P16">
        <v>2025</v>
      </c>
    </row>
    <row r="17" spans="9:31">
      <c r="I17" s="3" t="s">
        <v>240</v>
      </c>
      <c r="J17" s="5">
        <v>543171</v>
      </c>
      <c r="L17" t="str">
        <f t="shared" si="0"/>
        <v>Grand Total</v>
      </c>
      <c r="M17" s="6" t="e">
        <f t="shared" si="1"/>
        <v>#REF!</v>
      </c>
      <c r="O17" t="s">
        <v>117</v>
      </c>
      <c r="P17">
        <v>2025</v>
      </c>
    </row>
    <row r="18" spans="9:31">
      <c r="L18">
        <f t="shared" si="0"/>
        <v>0</v>
      </c>
      <c r="M18" s="6" t="e">
        <f t="shared" si="1"/>
        <v>#REF!</v>
      </c>
      <c r="O18" t="s">
        <v>126</v>
      </c>
      <c r="P18">
        <v>2025</v>
      </c>
    </row>
    <row r="19" spans="9:31">
      <c r="L19">
        <f t="shared" si="0"/>
        <v>0</v>
      </c>
      <c r="M19" s="6" t="e">
        <f t="shared" si="1"/>
        <v>#REF!</v>
      </c>
      <c r="O19" t="s">
        <v>127</v>
      </c>
      <c r="P19">
        <v>2025</v>
      </c>
    </row>
    <row r="20" spans="9:31">
      <c r="L20">
        <f t="shared" si="0"/>
        <v>0</v>
      </c>
      <c r="M20" s="6" t="e">
        <f t="shared" si="1"/>
        <v>#REF!</v>
      </c>
      <c r="O20" t="s">
        <v>134</v>
      </c>
      <c r="P20">
        <v>2025</v>
      </c>
      <c r="AE20" s="5"/>
    </row>
    <row r="21" spans="9:31">
      <c r="L21">
        <f t="shared" si="0"/>
        <v>0</v>
      </c>
      <c r="M21" s="6" t="e">
        <f t="shared" si="1"/>
        <v>#REF!</v>
      </c>
      <c r="O21" t="s">
        <v>138</v>
      </c>
      <c r="P21">
        <v>2025</v>
      </c>
    </row>
    <row r="22" spans="9:31">
      <c r="L22">
        <f t="shared" si="0"/>
        <v>0</v>
      </c>
      <c r="M22" s="6" t="e">
        <f t="shared" si="1"/>
        <v>#REF!</v>
      </c>
    </row>
    <row r="23" spans="9:31">
      <c r="L23">
        <f t="shared" si="0"/>
        <v>0</v>
      </c>
      <c r="M23" s="6" t="e">
        <f t="shared" si="1"/>
        <v>#REF!</v>
      </c>
    </row>
    <row r="24" spans="9:31">
      <c r="L24">
        <f t="shared" si="0"/>
        <v>0</v>
      </c>
      <c r="M24" s="6" t="e">
        <f t="shared" si="1"/>
        <v>#REF!</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622A-1DB8-46FC-B9F9-ABED8AFCDE05}">
  <dimension ref="A1"/>
  <sheetViews>
    <sheetView showGridLines="0" tabSelected="1" zoomScale="46" zoomScaleNormal="46" workbookViewId="0">
      <selection activeCell="AA21" sqref="AA21"/>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Noor Dawar</cp:lastModifiedBy>
  <dcterms:created xsi:type="dcterms:W3CDTF">2025-09-30T15:17:10Z</dcterms:created>
  <dcterms:modified xsi:type="dcterms:W3CDTF">2025-10-04T08:22:09Z</dcterms:modified>
</cp:coreProperties>
</file>